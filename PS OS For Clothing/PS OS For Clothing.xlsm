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2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rafael.luna\Desktop\docs pessoais\Projects\Excel_projects_VBA\PS OS For Clothing\"/>
    </mc:Choice>
  </mc:AlternateContent>
  <xr:revisionPtr revIDLastSave="0" documentId="13_ncr:1_{7C43704D-AA75-42F8-95C6-00BCE760BC05}" xr6:coauthVersionLast="47" xr6:coauthVersionMax="47" xr10:uidLastSave="{00000000-0000-0000-0000-000000000000}"/>
  <bookViews>
    <workbookView xWindow="-120" yWindow="-120" windowWidth="20730" windowHeight="11160" xr2:uid="{D3A1C577-748D-41B3-8817-8FAFFE593866}"/>
  </bookViews>
  <sheets>
    <sheet name="MENU" sheetId="1" r:id="rId1"/>
    <sheet name="CLIENTES" sheetId="2" r:id="rId2"/>
    <sheet name="FORNECEDORES" sheetId="7" r:id="rId3"/>
    <sheet name="ESTOQUE" sheetId="8" r:id="rId4"/>
    <sheet name="COMPRAS" sheetId="4" r:id="rId5"/>
    <sheet name="VENDAS" sheetId="3" r:id="rId6"/>
    <sheet name="FLUXO DE CAIXA" sheetId="6" r:id="rId7"/>
    <sheet name="DASHBOARD" sheetId="9" r:id="rId8"/>
    <sheet name="DASHBOARD_DATA" sheetId="10" r:id="rId9"/>
  </sheets>
  <functionGroups builtInGroupCount="19"/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3" l="1"/>
  <c r="K2" i="3" s="1"/>
  <c r="J1" i="4"/>
  <c r="I2" i="4" s="1"/>
  <c r="C3" i="6" l="1"/>
  <c r="B3" i="6" l="1"/>
  <c r="H2" i="6" l="1"/>
  <c r="J2" i="3"/>
  <c r="K6" i="6" s="1"/>
  <c r="H2" i="4"/>
  <c r="I6" i="6" s="1"/>
</calcChain>
</file>

<file path=xl/sharedStrings.xml><?xml version="1.0" encoding="utf-8"?>
<sst xmlns="http://schemas.openxmlformats.org/spreadsheetml/2006/main" count="96" uniqueCount="65">
  <si>
    <t>NOME</t>
  </si>
  <si>
    <t>TELEFONE</t>
  </si>
  <si>
    <t>CPF</t>
  </si>
  <si>
    <t>RUA</t>
  </si>
  <si>
    <t>N°</t>
  </si>
  <si>
    <t>DATA</t>
  </si>
  <si>
    <t>CLIENTE</t>
  </si>
  <si>
    <t>VALOR</t>
  </si>
  <si>
    <t>TIPO</t>
  </si>
  <si>
    <t>QNT.</t>
  </si>
  <si>
    <t>METODO DE PAG.</t>
  </si>
  <si>
    <t>DESCRIÇÃO</t>
  </si>
  <si>
    <t>DESCRIÇAO</t>
  </si>
  <si>
    <t>ESTOQUE INICIAL</t>
  </si>
  <si>
    <t>ESTOQUE MINIMO</t>
  </si>
  <si>
    <t>ESTOQUE ATUAL</t>
  </si>
  <si>
    <t>ESTADO DO ESTOQUE</t>
  </si>
  <si>
    <t>FORNECEDOR</t>
  </si>
  <si>
    <t>endereço referenciado a:</t>
  </si>
  <si>
    <t>TELEFONE 1</t>
  </si>
  <si>
    <t>TELEFONE 2</t>
  </si>
  <si>
    <t>E-MAIL</t>
  </si>
  <si>
    <t>Nº</t>
  </si>
  <si>
    <t>DATA DE CADASTRO</t>
  </si>
  <si>
    <t>SEXO</t>
  </si>
  <si>
    <t>PRODUTO</t>
  </si>
  <si>
    <t>VALOR UNITARIO</t>
  </si>
  <si>
    <t>VALOR TOTAL</t>
  </si>
  <si>
    <t>PRECO DE VENDA</t>
  </si>
  <si>
    <t>PRECO DE CUSTO</t>
  </si>
  <si>
    <t>DESCRICAO</t>
  </si>
  <si>
    <t>DESCONTO MÁX. DISP.</t>
  </si>
  <si>
    <t>TIPOS DE PRODUTOS</t>
  </si>
  <si>
    <t>endereço de imagem</t>
  </si>
  <si>
    <t xml:space="preserve"> </t>
  </si>
  <si>
    <t>PP</t>
  </si>
  <si>
    <t>P</t>
  </si>
  <si>
    <t>M</t>
  </si>
  <si>
    <t>G</t>
  </si>
  <si>
    <t>GG</t>
  </si>
  <si>
    <t>GGG</t>
  </si>
  <si>
    <t>33-34</t>
  </si>
  <si>
    <t>35-36</t>
  </si>
  <si>
    <t>37-38</t>
  </si>
  <si>
    <t>39-40</t>
  </si>
  <si>
    <t>41-42</t>
  </si>
  <si>
    <t>43-44</t>
  </si>
  <si>
    <t>TAMANHO</t>
  </si>
  <si>
    <t>ENTRADAS</t>
  </si>
  <si>
    <t>SAIDAS</t>
  </si>
  <si>
    <t>,</t>
  </si>
  <si>
    <t>TOTAL</t>
  </si>
  <si>
    <t>TAM.</t>
  </si>
  <si>
    <t>Rótulos de Linha</t>
  </si>
  <si>
    <t>Total Geral</t>
  </si>
  <si>
    <t>Soma de VALOR</t>
  </si>
  <si>
    <t>DESCONTO/ACRESCIMO</t>
  </si>
  <si>
    <t>(Tudo)</t>
  </si>
  <si>
    <t>TOTAL SAIDAS</t>
  </si>
  <si>
    <t>TOTAL ENTRADAS</t>
  </si>
  <si>
    <t>TOTAL:</t>
  </si>
  <si>
    <t>BLUSA</t>
  </si>
  <si>
    <t>TOTAL GASTO</t>
  </si>
  <si>
    <t>CALÇA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</si>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</sst>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6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theme="9" tint="0.59999389629810485"/>
      </patternFill>
    </fill>
  </fills>
  <borders count="2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/>
    <xf numFmtId="44" fontId="0" fillId="0" borderId="0" xfId="0" applyNumberFormat="1"/>
    <xf numFmtId="0" fontId="0" fillId="2" borderId="0" xfId="0" applyFill="1"/>
    <xf numFmtId="0" fontId="4" fillId="0" borderId="0" xfId="0" applyFont="1" applyAlignment="1">
      <alignment horizontal="center" vertical="center"/>
    </xf>
    <xf numFmtId="44" fontId="3" fillId="0" borderId="0" xfId="0" applyNumberFormat="1" applyFont="1"/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44" fontId="0" fillId="0" borderId="0" xfId="1" applyFont="1"/>
    <xf numFmtId="0" fontId="9" fillId="0" borderId="0" xfId="0" applyFont="1" applyAlignment="1">
      <alignment horizontal="center" vertical="center"/>
    </xf>
    <xf numFmtId="0" fontId="0" fillId="0" borderId="0" xfId="0" pivotButton="1"/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44" fontId="0" fillId="0" borderId="0" xfId="1" applyFont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49" fontId="0" fillId="0" borderId="0" xfId="0" applyNumberFormat="1" applyProtection="1">
      <protection locked="0"/>
    </xf>
    <xf numFmtId="1" fontId="8" fillId="0" borderId="0" xfId="0" applyNumberFormat="1" applyFon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14" fillId="0" borderId="0" xfId="0" applyFont="1" applyProtection="1">
      <protection locked="0"/>
    </xf>
    <xf numFmtId="14" fontId="0" fillId="0" borderId="0" xfId="0" applyNumberFormat="1" applyAlignment="1">
      <alignment horizontal="left"/>
    </xf>
    <xf numFmtId="44" fontId="10" fillId="0" borderId="0" xfId="0" applyNumberFormat="1" applyFont="1"/>
    <xf numFmtId="0" fontId="0" fillId="3" borderId="0" xfId="0" applyFill="1"/>
    <xf numFmtId="0" fontId="8" fillId="0" borderId="0" xfId="0" applyFont="1" applyAlignment="1">
      <alignment horizontal="center" vertical="center"/>
    </xf>
    <xf numFmtId="0" fontId="14" fillId="0" borderId="0" xfId="0" applyFont="1"/>
    <xf numFmtId="0" fontId="1" fillId="0" borderId="0" xfId="0" applyFont="1"/>
    <xf numFmtId="0" fontId="5" fillId="6" borderId="0" xfId="0" applyFont="1" applyFill="1" applyAlignment="1">
      <alignment horizontal="center" vertical="center"/>
    </xf>
    <xf numFmtId="14" fontId="1" fillId="0" borderId="0" xfId="0" applyNumberFormat="1" applyFont="1"/>
    <xf numFmtId="44" fontId="0" fillId="0" borderId="0" xfId="0" applyNumberFormat="1" applyProtection="1">
      <protection locked="0"/>
    </xf>
    <xf numFmtId="0" fontId="14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14" fontId="14" fillId="0" borderId="0" xfId="0" applyNumberFormat="1" applyFont="1" applyAlignment="1" applyProtection="1">
      <alignment horizontal="center" vertical="center"/>
      <protection locked="0"/>
    </xf>
    <xf numFmtId="44" fontId="14" fillId="0" borderId="0" xfId="1" applyFont="1" applyProtection="1"/>
    <xf numFmtId="44" fontId="5" fillId="7" borderId="0" xfId="0" applyNumberFormat="1" applyFont="1" applyFill="1" applyAlignment="1">
      <alignment horizontal="center" vertical="center"/>
    </xf>
    <xf numFmtId="44" fontId="5" fillId="7" borderId="0" xfId="0" applyNumberFormat="1" applyFont="1" applyFill="1"/>
    <xf numFmtId="44" fontId="5" fillId="7" borderId="0" xfId="1" applyFont="1" applyFill="1"/>
    <xf numFmtId="0" fontId="5" fillId="7" borderId="0" xfId="0" applyFont="1" applyFill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/>
    <xf numFmtId="0" fontId="5" fillId="7" borderId="0" xfId="0" applyFont="1" applyFill="1"/>
    <xf numFmtId="0" fontId="14" fillId="3" borderId="0" xfId="0" applyFont="1" applyFill="1"/>
    <xf numFmtId="14" fontId="14" fillId="8" borderId="1" xfId="0" applyNumberFormat="1" applyFont="1" applyFill="1" applyBorder="1"/>
    <xf numFmtId="44" fontId="13" fillId="4" borderId="0" xfId="0" applyNumberFormat="1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44" fontId="13" fillId="5" borderId="0" xfId="0" applyNumberFormat="1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</cellXfs>
  <cellStyles count="2">
    <cellStyle name="Moeda" xfId="1" builtinId="4"/>
    <cellStyle name="Normal" xfId="0" builtinId="0"/>
  </cellStyles>
  <dxfs count="76"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protection locked="0" hidden="0"/>
    </dxf>
    <dxf>
      <protection locked="0" hidden="0"/>
    </dxf>
    <dxf>
      <numFmt numFmtId="19" formatCode="dd/mm/yyyy"/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border outline="0">
        <left style="thin">
          <color theme="0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solid">
          <fgColor theme="9" tint="0.59999389629810485"/>
          <bgColor theme="0"/>
        </patternFill>
      </fill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ill>
        <patternFill patternType="solid">
          <fgColor indexed="64"/>
          <bgColor theme="0"/>
        </patternFill>
      </fill>
      <protection locked="1" hidden="0"/>
    </dxf>
    <dxf>
      <fill>
        <patternFill patternType="solid">
          <fgColor indexed="64"/>
          <bgColor theme="0"/>
        </patternFill>
      </fill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numFmt numFmtId="0" formatCode="General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7"/>
        </patternFill>
      </fill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color theme="2" tint="-9.9948118533890809E-2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9"/>
        </patternFill>
      </fill>
    </dxf>
  </dxfs>
  <tableStyles count="2" defaultTableStyle="TableStyleMedium2" defaultPivotStyle="PivotStyleLight16">
    <tableStyle name="Estilo de Tabela 1" pivot="0" count="5" xr9:uid="{98164CE7-A6D1-403F-B8F6-C5F42E62BBAE}">
      <tableStyleElement type="headerRow" dxfId="75"/>
      <tableStyleElement type="firstColumn" dxfId="74"/>
      <tableStyleElement type="secondRowStripe" dxfId="73"/>
      <tableStyleElement type="firstColumnStripe" dxfId="72"/>
      <tableStyleElement type="firstHeaderCell" dxfId="71"/>
    </tableStyle>
    <tableStyle name="Estilo de Tabela 2" pivot="0" count="1" xr9:uid="{4C2B0A3D-BDA6-4323-838C-649224286C5F}">
      <tableStyleElement type="headerRow" dxfId="70"/>
    </tableStyle>
  </tableStyles>
  <colors>
    <mruColors>
      <color rgb="FF1EC2DA"/>
      <color rgb="FF008000"/>
      <color rgb="FFD20000"/>
      <color rgb="FFFFFF99"/>
      <color rgb="FFFFCC00"/>
      <color rgb="FF003300"/>
      <color rgb="FF013503"/>
      <color rgb="FFC3C800"/>
      <color rgb="FF808080"/>
      <color rgb="FF4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[PS OS For Clothing.xlsm]DASHBOARD_DATA!Tabela dinâmica1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DE VENDAS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06AAD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580927384076991E-2"/>
          <c:y val="0.31781969962088075"/>
          <c:w val="0.91114085739282591"/>
          <c:h val="0.48320902595508886"/>
        </c:manualLayout>
      </c:layout>
      <c:lineChart>
        <c:grouping val="standard"/>
        <c:varyColors val="0"/>
        <c:ser>
          <c:idx val="0"/>
          <c:order val="0"/>
          <c:tx>
            <c:strRef>
              <c:f>DASHBOARD_DATA!$B$7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14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solidFill>
                <a:srgbClr val="06AAD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DASHBOARD_DATA!$A$8:$A$9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DASHBOARD_DATA!$B$8:$B$9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C3-4C05-96A8-8603CBCFCA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1271122944"/>
        <c:axId val="1005461600"/>
      </c:lineChart>
      <c:catAx>
        <c:axId val="127112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5461600"/>
        <c:crosses val="autoZero"/>
        <c:auto val="1"/>
        <c:lblAlgn val="ctr"/>
        <c:lblOffset val="100"/>
        <c:noMultiLvlLbl val="0"/>
      </c:catAx>
      <c:valAx>
        <c:axId val="10054616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112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[PS OS For Clothing.xlsm]DASHBOARD_DATA!Tabela dinâmica2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POR TIPOS</a:t>
            </a:r>
          </a:p>
        </c:rich>
      </c:tx>
      <c:layout>
        <c:manualLayout>
          <c:xMode val="edge"/>
          <c:yMode val="edge"/>
          <c:x val="0.31831428453943289"/>
          <c:y val="7.90028559205429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06AAD0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2116181298949839E-2"/>
          <c:y val="0.31980629181915643"/>
          <c:w val="0.88294966792346907"/>
          <c:h val="0.46750015403004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DASHBOARD_DATA!$E$3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strRef>
              <c:f>DASHBOARD_DATA!$D$4:$D$5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DASHBOARD_DATA!$E$4:$E$5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400-4FCC-8451-9BCFCB322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88715584"/>
        <c:axId val="90731952"/>
      </c:barChart>
      <c:catAx>
        <c:axId val="88715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731952"/>
        <c:crosses val="autoZero"/>
        <c:auto val="1"/>
        <c:lblAlgn val="ctr"/>
        <c:lblOffset val="100"/>
        <c:noMultiLvlLbl val="0"/>
      </c:catAx>
      <c:valAx>
        <c:axId val="90731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71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[PS OS For Clothing.xlsm]DASHBOARD_DATA!Tabela dinâmica3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POR MET. DE PAG.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6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7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DASHBOARD_DATA!$H$1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965-41AD-9095-3756870D19AC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965-41AD-9095-3756870D19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DASHBOARD_DATA!$G$2:$G$3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DASHBOARD_DATA!$H$2:$H$3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4-C965-41AD-9095-3756870D19AC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48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3.emf"/><Relationship Id="rId12" Type="http://schemas.openxmlformats.org/officeDocument/2006/relationships/image" Target="../media/image12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4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9.emf"/><Relationship Id="rId9" Type="http://schemas.openxmlformats.org/officeDocument/2006/relationships/image" Target="../media/image1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1.emf"/><Relationship Id="rId13" Type="http://schemas.openxmlformats.org/officeDocument/2006/relationships/image" Target="../media/image39.emf"/><Relationship Id="rId18" Type="http://schemas.openxmlformats.org/officeDocument/2006/relationships/image" Target="../media/image42.emf"/><Relationship Id="rId3" Type="http://schemas.openxmlformats.org/officeDocument/2006/relationships/image" Target="../media/image33.emf"/><Relationship Id="rId21" Type="http://schemas.openxmlformats.org/officeDocument/2006/relationships/image" Target="../media/image45.emf"/><Relationship Id="rId7" Type="http://schemas.openxmlformats.org/officeDocument/2006/relationships/image" Target="../media/image32.emf"/><Relationship Id="rId12" Type="http://schemas.openxmlformats.org/officeDocument/2006/relationships/image" Target="../media/image27.emf"/><Relationship Id="rId17" Type="http://schemas.openxmlformats.org/officeDocument/2006/relationships/image" Target="../media/image41.emf"/><Relationship Id="rId2" Type="http://schemas.openxmlformats.org/officeDocument/2006/relationships/image" Target="../media/image38.emf"/><Relationship Id="rId16" Type="http://schemas.openxmlformats.org/officeDocument/2006/relationships/image" Target="../media/image40.emf"/><Relationship Id="rId20" Type="http://schemas.openxmlformats.org/officeDocument/2006/relationships/image" Target="../media/image44.emf"/><Relationship Id="rId1" Type="http://schemas.openxmlformats.org/officeDocument/2006/relationships/image" Target="../media/image36.emf"/><Relationship Id="rId6" Type="http://schemas.openxmlformats.org/officeDocument/2006/relationships/image" Target="../media/image37.emf"/><Relationship Id="rId11" Type="http://schemas.openxmlformats.org/officeDocument/2006/relationships/image" Target="../media/image28.emf"/><Relationship Id="rId5" Type="http://schemas.openxmlformats.org/officeDocument/2006/relationships/image" Target="../media/image35.emf"/><Relationship Id="rId15" Type="http://schemas.openxmlformats.org/officeDocument/2006/relationships/image" Target="../media/image25.emf"/><Relationship Id="rId10" Type="http://schemas.openxmlformats.org/officeDocument/2006/relationships/image" Target="../media/image29.emf"/><Relationship Id="rId19" Type="http://schemas.openxmlformats.org/officeDocument/2006/relationships/image" Target="../media/image43.emf"/><Relationship Id="rId4" Type="http://schemas.openxmlformats.org/officeDocument/2006/relationships/image" Target="../media/image34.emf"/><Relationship Id="rId9" Type="http://schemas.openxmlformats.org/officeDocument/2006/relationships/image" Target="../media/image30.emf"/><Relationship Id="rId14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161926</xdr:rowOff>
    </xdr:from>
    <xdr:to>
      <xdr:col>4</xdr:col>
      <xdr:colOff>438157</xdr:colOff>
      <xdr:row>20</xdr:row>
      <xdr:rowOff>9525</xdr:rowOff>
    </xdr:to>
    <xdr:sp macro="" textlink="">
      <xdr:nvSpPr>
        <xdr:cNvPr id="29" name="Retângulo 9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0" y="2800351"/>
          <a:ext cx="3209932" cy="1371599"/>
        </a:xfrm>
        <a:custGeom>
          <a:avLst/>
          <a:gdLst>
            <a:gd name="connsiteX0" fmla="*/ 0 w 3209925"/>
            <a:gd name="connsiteY0" fmla="*/ 0 h 4343400"/>
            <a:gd name="connsiteX1" fmla="*/ 3209925 w 3209925"/>
            <a:gd name="connsiteY1" fmla="*/ 0 h 4343400"/>
            <a:gd name="connsiteX2" fmla="*/ 3209925 w 3209925"/>
            <a:gd name="connsiteY2" fmla="*/ 4343400 h 4343400"/>
            <a:gd name="connsiteX3" fmla="*/ 0 w 3209925"/>
            <a:gd name="connsiteY3" fmla="*/ 4343400 h 4343400"/>
            <a:gd name="connsiteX4" fmla="*/ 0 w 3209925"/>
            <a:gd name="connsiteY4" fmla="*/ 0 h 4343400"/>
            <a:gd name="connsiteX0" fmla="*/ 0 w 3209925"/>
            <a:gd name="connsiteY0" fmla="*/ 0 h 4343400"/>
            <a:gd name="connsiteX1" fmla="*/ 3209925 w 3209925"/>
            <a:gd name="connsiteY1" fmla="*/ 0 h 4343400"/>
            <a:gd name="connsiteX2" fmla="*/ 3209925 w 3209925"/>
            <a:gd name="connsiteY2" fmla="*/ 4343400 h 4343400"/>
            <a:gd name="connsiteX3" fmla="*/ 1533525 w 3209925"/>
            <a:gd name="connsiteY3" fmla="*/ 4333875 h 4343400"/>
            <a:gd name="connsiteX4" fmla="*/ 0 w 3209925"/>
            <a:gd name="connsiteY4" fmla="*/ 4343400 h 4343400"/>
            <a:gd name="connsiteX5" fmla="*/ 0 w 3209925"/>
            <a:gd name="connsiteY5" fmla="*/ 0 h 4343400"/>
            <a:gd name="connsiteX0" fmla="*/ 0 w 3209925"/>
            <a:gd name="connsiteY0" fmla="*/ 0 h 4343400"/>
            <a:gd name="connsiteX1" fmla="*/ 3209925 w 3209925"/>
            <a:gd name="connsiteY1" fmla="*/ 0 h 4343400"/>
            <a:gd name="connsiteX2" fmla="*/ 3209925 w 3209925"/>
            <a:gd name="connsiteY2" fmla="*/ 4019550 h 4343400"/>
            <a:gd name="connsiteX3" fmla="*/ 3209925 w 3209925"/>
            <a:gd name="connsiteY3" fmla="*/ 4343400 h 4343400"/>
            <a:gd name="connsiteX4" fmla="*/ 1533525 w 3209925"/>
            <a:gd name="connsiteY4" fmla="*/ 4333875 h 4343400"/>
            <a:gd name="connsiteX5" fmla="*/ 0 w 3209925"/>
            <a:gd name="connsiteY5" fmla="*/ 4343400 h 4343400"/>
            <a:gd name="connsiteX6" fmla="*/ 0 w 3209925"/>
            <a:gd name="connsiteY6" fmla="*/ 0 h 4343400"/>
            <a:gd name="connsiteX0" fmla="*/ 0 w 3209925"/>
            <a:gd name="connsiteY0" fmla="*/ 0 h 4343400"/>
            <a:gd name="connsiteX1" fmla="*/ 3209925 w 3209925"/>
            <a:gd name="connsiteY1" fmla="*/ 0 h 4343400"/>
            <a:gd name="connsiteX2" fmla="*/ 3209925 w 3209925"/>
            <a:gd name="connsiteY2" fmla="*/ 4019550 h 4343400"/>
            <a:gd name="connsiteX3" fmla="*/ 1533525 w 3209925"/>
            <a:gd name="connsiteY3" fmla="*/ 4333875 h 4343400"/>
            <a:gd name="connsiteX4" fmla="*/ 0 w 3209925"/>
            <a:gd name="connsiteY4" fmla="*/ 4343400 h 4343400"/>
            <a:gd name="connsiteX5" fmla="*/ 0 w 3209925"/>
            <a:gd name="connsiteY5" fmla="*/ 0 h 4343400"/>
            <a:gd name="connsiteX0" fmla="*/ 0 w 3209925"/>
            <a:gd name="connsiteY0" fmla="*/ 0 h 4343400"/>
            <a:gd name="connsiteX1" fmla="*/ 3209925 w 3209925"/>
            <a:gd name="connsiteY1" fmla="*/ 0 h 4343400"/>
            <a:gd name="connsiteX2" fmla="*/ 3209925 w 3209925"/>
            <a:gd name="connsiteY2" fmla="*/ 4019550 h 4343400"/>
            <a:gd name="connsiteX3" fmla="*/ 1533525 w 3209925"/>
            <a:gd name="connsiteY3" fmla="*/ 4333875 h 4343400"/>
            <a:gd name="connsiteX4" fmla="*/ 0 w 3209925"/>
            <a:gd name="connsiteY4" fmla="*/ 4343400 h 4343400"/>
            <a:gd name="connsiteX5" fmla="*/ 0 w 3209925"/>
            <a:gd name="connsiteY5" fmla="*/ 0 h 4343400"/>
            <a:gd name="connsiteX0" fmla="*/ 0 w 3209925"/>
            <a:gd name="connsiteY0" fmla="*/ 0 h 4343400"/>
            <a:gd name="connsiteX1" fmla="*/ 3209925 w 3209925"/>
            <a:gd name="connsiteY1" fmla="*/ 0 h 4343400"/>
            <a:gd name="connsiteX2" fmla="*/ 3209925 w 3209925"/>
            <a:gd name="connsiteY2" fmla="*/ 4019550 h 4343400"/>
            <a:gd name="connsiteX3" fmla="*/ 1533525 w 3209925"/>
            <a:gd name="connsiteY3" fmla="*/ 4333875 h 4343400"/>
            <a:gd name="connsiteX4" fmla="*/ 0 w 3209925"/>
            <a:gd name="connsiteY4" fmla="*/ 4343400 h 4343400"/>
            <a:gd name="connsiteX5" fmla="*/ 0 w 3209925"/>
            <a:gd name="connsiteY5" fmla="*/ 0 h 4343400"/>
            <a:gd name="connsiteX0" fmla="*/ 0 w 3209925"/>
            <a:gd name="connsiteY0" fmla="*/ 0 h 4360403"/>
            <a:gd name="connsiteX1" fmla="*/ 3209925 w 3209925"/>
            <a:gd name="connsiteY1" fmla="*/ 0 h 4360403"/>
            <a:gd name="connsiteX2" fmla="*/ 3209925 w 3209925"/>
            <a:gd name="connsiteY2" fmla="*/ 4019550 h 4360403"/>
            <a:gd name="connsiteX3" fmla="*/ 1533525 w 3209925"/>
            <a:gd name="connsiteY3" fmla="*/ 4333875 h 4360403"/>
            <a:gd name="connsiteX4" fmla="*/ 0 w 3209925"/>
            <a:gd name="connsiteY4" fmla="*/ 4343400 h 4360403"/>
            <a:gd name="connsiteX5" fmla="*/ 0 w 3209925"/>
            <a:gd name="connsiteY5" fmla="*/ 0 h 4360403"/>
            <a:gd name="connsiteX0" fmla="*/ 0 w 3209925"/>
            <a:gd name="connsiteY0" fmla="*/ 0 h 4348179"/>
            <a:gd name="connsiteX1" fmla="*/ 3209925 w 3209925"/>
            <a:gd name="connsiteY1" fmla="*/ 0 h 4348179"/>
            <a:gd name="connsiteX2" fmla="*/ 3209925 w 3209925"/>
            <a:gd name="connsiteY2" fmla="*/ 4019550 h 4348179"/>
            <a:gd name="connsiteX3" fmla="*/ 1533525 w 3209925"/>
            <a:gd name="connsiteY3" fmla="*/ 4333875 h 4348179"/>
            <a:gd name="connsiteX4" fmla="*/ 0 w 3209925"/>
            <a:gd name="connsiteY4" fmla="*/ 4343400 h 4348179"/>
            <a:gd name="connsiteX5" fmla="*/ 0 w 3209925"/>
            <a:gd name="connsiteY5" fmla="*/ 0 h 4348179"/>
            <a:gd name="connsiteX0" fmla="*/ 0 w 3209925"/>
            <a:gd name="connsiteY0" fmla="*/ 0 h 4364508"/>
            <a:gd name="connsiteX1" fmla="*/ 3209925 w 3209925"/>
            <a:gd name="connsiteY1" fmla="*/ 0 h 4364508"/>
            <a:gd name="connsiteX2" fmla="*/ 3209925 w 3209925"/>
            <a:gd name="connsiteY2" fmla="*/ 4019550 h 4364508"/>
            <a:gd name="connsiteX3" fmla="*/ 1533525 w 3209925"/>
            <a:gd name="connsiteY3" fmla="*/ 4333875 h 4364508"/>
            <a:gd name="connsiteX4" fmla="*/ 0 w 3209925"/>
            <a:gd name="connsiteY4" fmla="*/ 4343400 h 4364508"/>
            <a:gd name="connsiteX5" fmla="*/ 0 w 3209925"/>
            <a:gd name="connsiteY5" fmla="*/ 0 h 4364508"/>
            <a:gd name="connsiteX0" fmla="*/ 0 w 3209932"/>
            <a:gd name="connsiteY0" fmla="*/ 0 h 4343400"/>
            <a:gd name="connsiteX1" fmla="*/ 3209925 w 3209932"/>
            <a:gd name="connsiteY1" fmla="*/ 0 h 4343400"/>
            <a:gd name="connsiteX2" fmla="*/ 3209925 w 3209932"/>
            <a:gd name="connsiteY2" fmla="*/ 4019550 h 4343400"/>
            <a:gd name="connsiteX3" fmla="*/ 1533525 w 3209932"/>
            <a:gd name="connsiteY3" fmla="*/ 4333875 h 4343400"/>
            <a:gd name="connsiteX4" fmla="*/ 0 w 3209932"/>
            <a:gd name="connsiteY4" fmla="*/ 4343400 h 4343400"/>
            <a:gd name="connsiteX5" fmla="*/ 0 w 3209932"/>
            <a:gd name="connsiteY5" fmla="*/ 0 h 4343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3209932" h="4343400">
              <a:moveTo>
                <a:pt x="0" y="0"/>
              </a:moveTo>
              <a:lnTo>
                <a:pt x="3209925" y="0"/>
              </a:lnTo>
              <a:lnTo>
                <a:pt x="3209925" y="4019550"/>
              </a:lnTo>
              <a:cubicBezTo>
                <a:pt x="3213100" y="4343400"/>
                <a:pt x="2149475" y="4343400"/>
                <a:pt x="1533525" y="4333875"/>
              </a:cubicBezTo>
              <a:lnTo>
                <a:pt x="0" y="4343400"/>
              </a:lnTo>
              <a:lnTo>
                <a:pt x="0" y="0"/>
              </a:lnTo>
              <a:close/>
            </a:path>
          </a:pathLst>
        </a:custGeom>
        <a:solidFill>
          <a:srgbClr val="1EC2D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9526</xdr:colOff>
      <xdr:row>0</xdr:row>
      <xdr:rowOff>1</xdr:rowOff>
    </xdr:from>
    <xdr:to>
      <xdr:col>4</xdr:col>
      <xdr:colOff>447683</xdr:colOff>
      <xdr:row>8</xdr:row>
      <xdr:rowOff>161925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9526" y="1"/>
          <a:ext cx="3209932" cy="2038349"/>
        </a:xfrm>
        <a:custGeom>
          <a:avLst/>
          <a:gdLst>
            <a:gd name="connsiteX0" fmla="*/ 0 w 3209925"/>
            <a:gd name="connsiteY0" fmla="*/ 0 h 4343400"/>
            <a:gd name="connsiteX1" fmla="*/ 3209925 w 3209925"/>
            <a:gd name="connsiteY1" fmla="*/ 0 h 4343400"/>
            <a:gd name="connsiteX2" fmla="*/ 3209925 w 3209925"/>
            <a:gd name="connsiteY2" fmla="*/ 4343400 h 4343400"/>
            <a:gd name="connsiteX3" fmla="*/ 0 w 3209925"/>
            <a:gd name="connsiteY3" fmla="*/ 4343400 h 4343400"/>
            <a:gd name="connsiteX4" fmla="*/ 0 w 3209925"/>
            <a:gd name="connsiteY4" fmla="*/ 0 h 4343400"/>
            <a:gd name="connsiteX0" fmla="*/ 0 w 3209925"/>
            <a:gd name="connsiteY0" fmla="*/ 0 h 4343400"/>
            <a:gd name="connsiteX1" fmla="*/ 3209925 w 3209925"/>
            <a:gd name="connsiteY1" fmla="*/ 0 h 4343400"/>
            <a:gd name="connsiteX2" fmla="*/ 3209925 w 3209925"/>
            <a:gd name="connsiteY2" fmla="*/ 4343400 h 4343400"/>
            <a:gd name="connsiteX3" fmla="*/ 1533525 w 3209925"/>
            <a:gd name="connsiteY3" fmla="*/ 4333875 h 4343400"/>
            <a:gd name="connsiteX4" fmla="*/ 0 w 3209925"/>
            <a:gd name="connsiteY4" fmla="*/ 4343400 h 4343400"/>
            <a:gd name="connsiteX5" fmla="*/ 0 w 3209925"/>
            <a:gd name="connsiteY5" fmla="*/ 0 h 4343400"/>
            <a:gd name="connsiteX0" fmla="*/ 0 w 3209925"/>
            <a:gd name="connsiteY0" fmla="*/ 0 h 4343400"/>
            <a:gd name="connsiteX1" fmla="*/ 3209925 w 3209925"/>
            <a:gd name="connsiteY1" fmla="*/ 0 h 4343400"/>
            <a:gd name="connsiteX2" fmla="*/ 3209925 w 3209925"/>
            <a:gd name="connsiteY2" fmla="*/ 4019550 h 4343400"/>
            <a:gd name="connsiteX3" fmla="*/ 3209925 w 3209925"/>
            <a:gd name="connsiteY3" fmla="*/ 4343400 h 4343400"/>
            <a:gd name="connsiteX4" fmla="*/ 1533525 w 3209925"/>
            <a:gd name="connsiteY4" fmla="*/ 4333875 h 4343400"/>
            <a:gd name="connsiteX5" fmla="*/ 0 w 3209925"/>
            <a:gd name="connsiteY5" fmla="*/ 4343400 h 4343400"/>
            <a:gd name="connsiteX6" fmla="*/ 0 w 3209925"/>
            <a:gd name="connsiteY6" fmla="*/ 0 h 4343400"/>
            <a:gd name="connsiteX0" fmla="*/ 0 w 3209925"/>
            <a:gd name="connsiteY0" fmla="*/ 0 h 4343400"/>
            <a:gd name="connsiteX1" fmla="*/ 3209925 w 3209925"/>
            <a:gd name="connsiteY1" fmla="*/ 0 h 4343400"/>
            <a:gd name="connsiteX2" fmla="*/ 3209925 w 3209925"/>
            <a:gd name="connsiteY2" fmla="*/ 4019550 h 4343400"/>
            <a:gd name="connsiteX3" fmla="*/ 1533525 w 3209925"/>
            <a:gd name="connsiteY3" fmla="*/ 4333875 h 4343400"/>
            <a:gd name="connsiteX4" fmla="*/ 0 w 3209925"/>
            <a:gd name="connsiteY4" fmla="*/ 4343400 h 4343400"/>
            <a:gd name="connsiteX5" fmla="*/ 0 w 3209925"/>
            <a:gd name="connsiteY5" fmla="*/ 0 h 4343400"/>
            <a:gd name="connsiteX0" fmla="*/ 0 w 3209925"/>
            <a:gd name="connsiteY0" fmla="*/ 0 h 4343400"/>
            <a:gd name="connsiteX1" fmla="*/ 3209925 w 3209925"/>
            <a:gd name="connsiteY1" fmla="*/ 0 h 4343400"/>
            <a:gd name="connsiteX2" fmla="*/ 3209925 w 3209925"/>
            <a:gd name="connsiteY2" fmla="*/ 4019550 h 4343400"/>
            <a:gd name="connsiteX3" fmla="*/ 1533525 w 3209925"/>
            <a:gd name="connsiteY3" fmla="*/ 4333875 h 4343400"/>
            <a:gd name="connsiteX4" fmla="*/ 0 w 3209925"/>
            <a:gd name="connsiteY4" fmla="*/ 4343400 h 4343400"/>
            <a:gd name="connsiteX5" fmla="*/ 0 w 3209925"/>
            <a:gd name="connsiteY5" fmla="*/ 0 h 4343400"/>
            <a:gd name="connsiteX0" fmla="*/ 0 w 3209925"/>
            <a:gd name="connsiteY0" fmla="*/ 0 h 4343400"/>
            <a:gd name="connsiteX1" fmla="*/ 3209925 w 3209925"/>
            <a:gd name="connsiteY1" fmla="*/ 0 h 4343400"/>
            <a:gd name="connsiteX2" fmla="*/ 3209925 w 3209925"/>
            <a:gd name="connsiteY2" fmla="*/ 4019550 h 4343400"/>
            <a:gd name="connsiteX3" fmla="*/ 1533525 w 3209925"/>
            <a:gd name="connsiteY3" fmla="*/ 4333875 h 4343400"/>
            <a:gd name="connsiteX4" fmla="*/ 0 w 3209925"/>
            <a:gd name="connsiteY4" fmla="*/ 4343400 h 4343400"/>
            <a:gd name="connsiteX5" fmla="*/ 0 w 3209925"/>
            <a:gd name="connsiteY5" fmla="*/ 0 h 4343400"/>
            <a:gd name="connsiteX0" fmla="*/ 0 w 3209925"/>
            <a:gd name="connsiteY0" fmla="*/ 0 h 4360403"/>
            <a:gd name="connsiteX1" fmla="*/ 3209925 w 3209925"/>
            <a:gd name="connsiteY1" fmla="*/ 0 h 4360403"/>
            <a:gd name="connsiteX2" fmla="*/ 3209925 w 3209925"/>
            <a:gd name="connsiteY2" fmla="*/ 4019550 h 4360403"/>
            <a:gd name="connsiteX3" fmla="*/ 1533525 w 3209925"/>
            <a:gd name="connsiteY3" fmla="*/ 4333875 h 4360403"/>
            <a:gd name="connsiteX4" fmla="*/ 0 w 3209925"/>
            <a:gd name="connsiteY4" fmla="*/ 4343400 h 4360403"/>
            <a:gd name="connsiteX5" fmla="*/ 0 w 3209925"/>
            <a:gd name="connsiteY5" fmla="*/ 0 h 4360403"/>
            <a:gd name="connsiteX0" fmla="*/ 0 w 3209925"/>
            <a:gd name="connsiteY0" fmla="*/ 0 h 4348179"/>
            <a:gd name="connsiteX1" fmla="*/ 3209925 w 3209925"/>
            <a:gd name="connsiteY1" fmla="*/ 0 h 4348179"/>
            <a:gd name="connsiteX2" fmla="*/ 3209925 w 3209925"/>
            <a:gd name="connsiteY2" fmla="*/ 4019550 h 4348179"/>
            <a:gd name="connsiteX3" fmla="*/ 1533525 w 3209925"/>
            <a:gd name="connsiteY3" fmla="*/ 4333875 h 4348179"/>
            <a:gd name="connsiteX4" fmla="*/ 0 w 3209925"/>
            <a:gd name="connsiteY4" fmla="*/ 4343400 h 4348179"/>
            <a:gd name="connsiteX5" fmla="*/ 0 w 3209925"/>
            <a:gd name="connsiteY5" fmla="*/ 0 h 4348179"/>
            <a:gd name="connsiteX0" fmla="*/ 0 w 3209925"/>
            <a:gd name="connsiteY0" fmla="*/ 0 h 4364508"/>
            <a:gd name="connsiteX1" fmla="*/ 3209925 w 3209925"/>
            <a:gd name="connsiteY1" fmla="*/ 0 h 4364508"/>
            <a:gd name="connsiteX2" fmla="*/ 3209925 w 3209925"/>
            <a:gd name="connsiteY2" fmla="*/ 4019550 h 4364508"/>
            <a:gd name="connsiteX3" fmla="*/ 1533525 w 3209925"/>
            <a:gd name="connsiteY3" fmla="*/ 4333875 h 4364508"/>
            <a:gd name="connsiteX4" fmla="*/ 0 w 3209925"/>
            <a:gd name="connsiteY4" fmla="*/ 4343400 h 4364508"/>
            <a:gd name="connsiteX5" fmla="*/ 0 w 3209925"/>
            <a:gd name="connsiteY5" fmla="*/ 0 h 4364508"/>
            <a:gd name="connsiteX0" fmla="*/ 0 w 3209932"/>
            <a:gd name="connsiteY0" fmla="*/ 0 h 4343400"/>
            <a:gd name="connsiteX1" fmla="*/ 3209925 w 3209932"/>
            <a:gd name="connsiteY1" fmla="*/ 0 h 4343400"/>
            <a:gd name="connsiteX2" fmla="*/ 3209925 w 3209932"/>
            <a:gd name="connsiteY2" fmla="*/ 4019550 h 4343400"/>
            <a:gd name="connsiteX3" fmla="*/ 1533525 w 3209932"/>
            <a:gd name="connsiteY3" fmla="*/ 4333875 h 4343400"/>
            <a:gd name="connsiteX4" fmla="*/ 0 w 3209932"/>
            <a:gd name="connsiteY4" fmla="*/ 4343400 h 4343400"/>
            <a:gd name="connsiteX5" fmla="*/ 0 w 3209932"/>
            <a:gd name="connsiteY5" fmla="*/ 0 h 4343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3209932" h="4343400">
              <a:moveTo>
                <a:pt x="0" y="0"/>
              </a:moveTo>
              <a:lnTo>
                <a:pt x="3209925" y="0"/>
              </a:lnTo>
              <a:lnTo>
                <a:pt x="3209925" y="4019550"/>
              </a:lnTo>
              <a:cubicBezTo>
                <a:pt x="3213100" y="4343400"/>
                <a:pt x="2149475" y="4343400"/>
                <a:pt x="1533525" y="4333875"/>
              </a:cubicBezTo>
              <a:lnTo>
                <a:pt x="0" y="4343400"/>
              </a:lnTo>
              <a:lnTo>
                <a:pt x="0" y="0"/>
              </a:lnTo>
              <a:close/>
            </a:path>
          </a:pathLst>
        </a:custGeom>
        <a:solidFill>
          <a:srgbClr val="1EC2D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13</xdr:row>
          <xdr:rowOff>9525</xdr:rowOff>
        </xdr:from>
        <xdr:to>
          <xdr:col>8</xdr:col>
          <xdr:colOff>304800</xdr:colOff>
          <xdr:row>14</xdr:row>
          <xdr:rowOff>180975</xdr:rowOff>
        </xdr:to>
        <xdr:sp macro="" textlink="">
          <xdr:nvSpPr>
            <xdr:cNvPr id="2054" name="lbCadastrarProduto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15</xdr:row>
          <xdr:rowOff>9525</xdr:rowOff>
        </xdr:from>
        <xdr:to>
          <xdr:col>8</xdr:col>
          <xdr:colOff>314325</xdr:colOff>
          <xdr:row>16</xdr:row>
          <xdr:rowOff>0</xdr:rowOff>
        </xdr:to>
        <xdr:sp macro="" textlink="">
          <xdr:nvSpPr>
            <xdr:cNvPr id="2055" name="lbAlterarProduto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4</xdr:col>
          <xdr:colOff>400050</xdr:colOff>
          <xdr:row>14</xdr:row>
          <xdr:rowOff>171450</xdr:rowOff>
        </xdr:to>
        <xdr:sp macro="" textlink="">
          <xdr:nvSpPr>
            <xdr:cNvPr id="2056" name="PRODUTO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16</xdr:row>
          <xdr:rowOff>28575</xdr:rowOff>
        </xdr:from>
        <xdr:to>
          <xdr:col>8</xdr:col>
          <xdr:colOff>323850</xdr:colOff>
          <xdr:row>17</xdr:row>
          <xdr:rowOff>19050</xdr:rowOff>
        </xdr:to>
        <xdr:sp macro="" textlink="">
          <xdr:nvSpPr>
            <xdr:cNvPr id="2058" name="lbChecarEstoqu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15</xdr:row>
          <xdr:rowOff>19050</xdr:rowOff>
        </xdr:from>
        <xdr:to>
          <xdr:col>8</xdr:col>
          <xdr:colOff>304800</xdr:colOff>
          <xdr:row>17</xdr:row>
          <xdr:rowOff>0</xdr:rowOff>
        </xdr:to>
        <xdr:sp macro="" textlink="">
          <xdr:nvSpPr>
            <xdr:cNvPr id="2059" name="lbVend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19050</xdr:rowOff>
        </xdr:from>
        <xdr:to>
          <xdr:col>4</xdr:col>
          <xdr:colOff>400050</xdr:colOff>
          <xdr:row>17</xdr:row>
          <xdr:rowOff>0</xdr:rowOff>
        </xdr:to>
        <xdr:sp macro="" textlink="">
          <xdr:nvSpPr>
            <xdr:cNvPr id="2060" name="COMPRAS_VENDA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15</xdr:row>
          <xdr:rowOff>19050</xdr:rowOff>
        </xdr:from>
        <xdr:to>
          <xdr:col>12</xdr:col>
          <xdr:colOff>123825</xdr:colOff>
          <xdr:row>17</xdr:row>
          <xdr:rowOff>0</xdr:rowOff>
        </xdr:to>
        <xdr:sp macro="" textlink="">
          <xdr:nvSpPr>
            <xdr:cNvPr id="2061" name="lbComp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17</xdr:row>
          <xdr:rowOff>28575</xdr:rowOff>
        </xdr:from>
        <xdr:to>
          <xdr:col>8</xdr:col>
          <xdr:colOff>304800</xdr:colOff>
          <xdr:row>18</xdr:row>
          <xdr:rowOff>85725</xdr:rowOff>
        </xdr:to>
        <xdr:sp macro="" textlink="">
          <xdr:nvSpPr>
            <xdr:cNvPr id="2062" name="lbCadastrarClient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18</xdr:row>
          <xdr:rowOff>114300</xdr:rowOff>
        </xdr:from>
        <xdr:to>
          <xdr:col>8</xdr:col>
          <xdr:colOff>304800</xdr:colOff>
          <xdr:row>19</xdr:row>
          <xdr:rowOff>171450</xdr:rowOff>
        </xdr:to>
        <xdr:sp macro="" textlink="">
          <xdr:nvSpPr>
            <xdr:cNvPr id="2063" name="lbCadastrarFornecedor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17</xdr:row>
          <xdr:rowOff>28575</xdr:rowOff>
        </xdr:from>
        <xdr:to>
          <xdr:col>8</xdr:col>
          <xdr:colOff>314325</xdr:colOff>
          <xdr:row>19</xdr:row>
          <xdr:rowOff>9525</xdr:rowOff>
        </xdr:to>
        <xdr:sp macro="" textlink="">
          <xdr:nvSpPr>
            <xdr:cNvPr id="2064" name="lbEntrada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17</xdr:row>
          <xdr:rowOff>28575</xdr:rowOff>
        </xdr:from>
        <xdr:to>
          <xdr:col>4</xdr:col>
          <xdr:colOff>409575</xdr:colOff>
          <xdr:row>19</xdr:row>
          <xdr:rowOff>9525</xdr:rowOff>
        </xdr:to>
        <xdr:sp macro="" textlink="">
          <xdr:nvSpPr>
            <xdr:cNvPr id="2065" name="FLUXO_CAIXA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</xdr:row>
          <xdr:rowOff>28575</xdr:rowOff>
        </xdr:from>
        <xdr:to>
          <xdr:col>12</xdr:col>
          <xdr:colOff>123825</xdr:colOff>
          <xdr:row>19</xdr:row>
          <xdr:rowOff>9525</xdr:rowOff>
        </xdr:to>
        <xdr:sp macro="" textlink="">
          <xdr:nvSpPr>
            <xdr:cNvPr id="2066" name="lbSaida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19</xdr:row>
          <xdr:rowOff>28575</xdr:rowOff>
        </xdr:from>
        <xdr:to>
          <xdr:col>8</xdr:col>
          <xdr:colOff>314325</xdr:colOff>
          <xdr:row>20</xdr:row>
          <xdr:rowOff>85725</xdr:rowOff>
        </xdr:to>
        <xdr:sp macro="" textlink="">
          <xdr:nvSpPr>
            <xdr:cNvPr id="2067" name="lbCarteira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20</xdr:row>
          <xdr:rowOff>104775</xdr:rowOff>
        </xdr:from>
        <xdr:to>
          <xdr:col>8</xdr:col>
          <xdr:colOff>314325</xdr:colOff>
          <xdr:row>21</xdr:row>
          <xdr:rowOff>161925</xdr:rowOff>
        </xdr:to>
        <xdr:sp macro="" textlink="">
          <xdr:nvSpPr>
            <xdr:cNvPr id="2068" name="lbDashboard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553824</xdr:colOff>
      <xdr:row>5</xdr:row>
      <xdr:rowOff>161925</xdr:rowOff>
    </xdr:from>
    <xdr:to>
      <xdr:col>18</xdr:col>
      <xdr:colOff>1066800</xdr:colOff>
      <xdr:row>27</xdr:row>
      <xdr:rowOff>29876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3424" y="1447800"/>
          <a:ext cx="4018176" cy="4078001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0</xdr:row>
      <xdr:rowOff>0</xdr:rowOff>
    </xdr:from>
    <xdr:to>
      <xdr:col>4</xdr:col>
      <xdr:colOff>66675</xdr:colOff>
      <xdr:row>9</xdr:row>
      <xdr:rowOff>112222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0"/>
          <a:ext cx="2619375" cy="21791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76200</xdr:colOff>
          <xdr:row>31</xdr:row>
          <xdr:rowOff>0</xdr:rowOff>
        </xdr:from>
        <xdr:to>
          <xdr:col>10</xdr:col>
          <xdr:colOff>438150</xdr:colOff>
          <xdr:row>33</xdr:row>
          <xdr:rowOff>19050</xdr:rowOff>
        </xdr:to>
        <xdr:sp macro="" textlink="">
          <xdr:nvSpPr>
            <xdr:cNvPr id="8193" name="btExcluir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714375</xdr:colOff>
          <xdr:row>31</xdr:row>
          <xdr:rowOff>0</xdr:rowOff>
        </xdr:from>
        <xdr:to>
          <xdr:col>9</xdr:col>
          <xdr:colOff>38100</xdr:colOff>
          <xdr:row>33</xdr:row>
          <xdr:rowOff>19050</xdr:rowOff>
        </xdr:to>
        <xdr:sp macro="" textlink="">
          <xdr:nvSpPr>
            <xdr:cNvPr id="8194" name="btMenu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390525</xdr:colOff>
          <xdr:row>31</xdr:row>
          <xdr:rowOff>0</xdr:rowOff>
        </xdr:from>
        <xdr:to>
          <xdr:col>11</xdr:col>
          <xdr:colOff>142875</xdr:colOff>
          <xdr:row>33</xdr:row>
          <xdr:rowOff>19050</xdr:rowOff>
        </xdr:to>
        <xdr:sp macro="" textlink="">
          <xdr:nvSpPr>
            <xdr:cNvPr id="9217" name="btExcluir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31</xdr:row>
          <xdr:rowOff>0</xdr:rowOff>
        </xdr:from>
        <xdr:to>
          <xdr:col>9</xdr:col>
          <xdr:colOff>361950</xdr:colOff>
          <xdr:row>33</xdr:row>
          <xdr:rowOff>19050</xdr:rowOff>
        </xdr:to>
        <xdr:sp macro="" textlink="">
          <xdr:nvSpPr>
            <xdr:cNvPr id="9218" name="btMenu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1133475</xdr:colOff>
          <xdr:row>31</xdr:row>
          <xdr:rowOff>0</xdr:rowOff>
        </xdr:from>
        <xdr:to>
          <xdr:col>9</xdr:col>
          <xdr:colOff>857250</xdr:colOff>
          <xdr:row>33</xdr:row>
          <xdr:rowOff>19050</xdr:rowOff>
        </xdr:to>
        <xdr:sp macro="" textlink="">
          <xdr:nvSpPr>
            <xdr:cNvPr id="10242" name="btExcluir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133350</xdr:colOff>
          <xdr:row>31</xdr:row>
          <xdr:rowOff>0</xdr:rowOff>
        </xdr:from>
        <xdr:to>
          <xdr:col>8</xdr:col>
          <xdr:colOff>1104900</xdr:colOff>
          <xdr:row>33</xdr:row>
          <xdr:rowOff>19050</xdr:rowOff>
        </xdr:to>
        <xdr:sp macro="" textlink="">
          <xdr:nvSpPr>
            <xdr:cNvPr id="10243" name="btMenu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190500</xdr:colOff>
          <xdr:row>31</xdr:row>
          <xdr:rowOff>9525</xdr:rowOff>
        </xdr:from>
        <xdr:to>
          <xdr:col>12</xdr:col>
          <xdr:colOff>552450</xdr:colOff>
          <xdr:row>33</xdr:row>
          <xdr:rowOff>28575</xdr:rowOff>
        </xdr:to>
        <xdr:sp macro="" textlink="">
          <xdr:nvSpPr>
            <xdr:cNvPr id="12290" name="btMenu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1019175</xdr:colOff>
          <xdr:row>30</xdr:row>
          <xdr:rowOff>161925</xdr:rowOff>
        </xdr:from>
        <xdr:to>
          <xdr:col>10</xdr:col>
          <xdr:colOff>19050</xdr:colOff>
          <xdr:row>32</xdr:row>
          <xdr:rowOff>180975</xdr:rowOff>
        </xdr:to>
        <xdr:sp macro="" textlink="">
          <xdr:nvSpPr>
            <xdr:cNvPr id="11266" name="btMenu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571500</xdr:colOff>
          <xdr:row>4</xdr:row>
          <xdr:rowOff>9525</xdr:rowOff>
        </xdr:from>
        <xdr:to>
          <xdr:col>8</xdr:col>
          <xdr:colOff>0</xdr:colOff>
          <xdr:row>8</xdr:row>
          <xdr:rowOff>85725</xdr:rowOff>
        </xdr:to>
        <xdr:sp macro="" textlink="">
          <xdr:nvSpPr>
            <xdr:cNvPr id="6150" name="Label3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5</xdr:row>
          <xdr:rowOff>114300</xdr:rowOff>
        </xdr:from>
        <xdr:to>
          <xdr:col>7</xdr:col>
          <xdr:colOff>866775</xdr:colOff>
          <xdr:row>8</xdr:row>
          <xdr:rowOff>85725</xdr:rowOff>
        </xdr:to>
        <xdr:sp macro="" textlink="">
          <xdr:nvSpPr>
            <xdr:cNvPr id="6153" name="lbCarteiraAtual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6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0</xdr:row>
          <xdr:rowOff>0</xdr:rowOff>
        </xdr:from>
        <xdr:to>
          <xdr:col>8</xdr:col>
          <xdr:colOff>28575</xdr:colOff>
          <xdr:row>4</xdr:row>
          <xdr:rowOff>9525</xdr:rowOff>
        </xdr:to>
        <xdr:sp macro="" textlink="">
          <xdr:nvSpPr>
            <xdr:cNvPr id="6147" name="Label1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571500</xdr:colOff>
          <xdr:row>1</xdr:row>
          <xdr:rowOff>38100</xdr:rowOff>
        </xdr:from>
        <xdr:to>
          <xdr:col>8</xdr:col>
          <xdr:colOff>9525</xdr:colOff>
          <xdr:row>4</xdr:row>
          <xdr:rowOff>0</xdr:rowOff>
        </xdr:to>
        <xdr:sp macro="" textlink="">
          <xdr:nvSpPr>
            <xdr:cNvPr id="6148" name="tbCarteiraInicial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523875</xdr:colOff>
          <xdr:row>2</xdr:row>
          <xdr:rowOff>19050</xdr:rowOff>
        </xdr:from>
        <xdr:to>
          <xdr:col>7</xdr:col>
          <xdr:colOff>704850</xdr:colOff>
          <xdr:row>3</xdr:row>
          <xdr:rowOff>9525</xdr:rowOff>
        </xdr:to>
        <xdr:sp macro="" textlink="">
          <xdr:nvSpPr>
            <xdr:cNvPr id="6149" name="Label2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6</xdr:row>
          <xdr:rowOff>66675</xdr:rowOff>
        </xdr:from>
        <xdr:to>
          <xdr:col>7</xdr:col>
          <xdr:colOff>647700</xdr:colOff>
          <xdr:row>7</xdr:row>
          <xdr:rowOff>57150</xdr:rowOff>
        </xdr:to>
        <xdr:sp macro="" textlink="">
          <xdr:nvSpPr>
            <xdr:cNvPr id="6152" name="Label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571500</xdr:colOff>
          <xdr:row>8</xdr:row>
          <xdr:rowOff>76200</xdr:rowOff>
        </xdr:from>
        <xdr:to>
          <xdr:col>8</xdr:col>
          <xdr:colOff>0</xdr:colOff>
          <xdr:row>9</xdr:row>
          <xdr:rowOff>142875</xdr:rowOff>
        </xdr:to>
        <xdr:sp macro="" textlink="">
          <xdr:nvSpPr>
            <xdr:cNvPr id="6163" name="Label8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6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1123950</xdr:colOff>
          <xdr:row>8</xdr:row>
          <xdr:rowOff>85725</xdr:rowOff>
        </xdr:from>
        <xdr:to>
          <xdr:col>8</xdr:col>
          <xdr:colOff>0</xdr:colOff>
          <xdr:row>9</xdr:row>
          <xdr:rowOff>38100</xdr:rowOff>
        </xdr:to>
        <xdr:sp macro="" textlink="">
          <xdr:nvSpPr>
            <xdr:cNvPr id="6164" name="lbSaqueDisponivel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6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666750</xdr:colOff>
          <xdr:row>8</xdr:row>
          <xdr:rowOff>114300</xdr:rowOff>
        </xdr:from>
        <xdr:to>
          <xdr:col>7</xdr:col>
          <xdr:colOff>847725</xdr:colOff>
          <xdr:row>9</xdr:row>
          <xdr:rowOff>104775</xdr:rowOff>
        </xdr:to>
        <xdr:sp macro="" textlink="">
          <xdr:nvSpPr>
            <xdr:cNvPr id="6165" name="Label1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6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571500</xdr:colOff>
          <xdr:row>9</xdr:row>
          <xdr:rowOff>161925</xdr:rowOff>
        </xdr:from>
        <xdr:to>
          <xdr:col>8</xdr:col>
          <xdr:colOff>38100</xdr:colOff>
          <xdr:row>10</xdr:row>
          <xdr:rowOff>180975</xdr:rowOff>
        </xdr:to>
        <xdr:sp macro="" textlink="">
          <xdr:nvSpPr>
            <xdr:cNvPr id="6166" name="Label12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6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285750</xdr:colOff>
          <xdr:row>9</xdr:row>
          <xdr:rowOff>133350</xdr:rowOff>
        </xdr:from>
        <xdr:to>
          <xdr:col>8</xdr:col>
          <xdr:colOff>0</xdr:colOff>
          <xdr:row>10</xdr:row>
          <xdr:rowOff>171450</xdr:rowOff>
        </xdr:to>
        <xdr:sp macro="" textlink="">
          <xdr:nvSpPr>
            <xdr:cNvPr id="6167" name="tbFundoInvestimento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6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657225</xdr:colOff>
          <xdr:row>9</xdr:row>
          <xdr:rowOff>161925</xdr:rowOff>
        </xdr:from>
        <xdr:to>
          <xdr:col>7</xdr:col>
          <xdr:colOff>838200</xdr:colOff>
          <xdr:row>10</xdr:row>
          <xdr:rowOff>152400</xdr:rowOff>
        </xdr:to>
        <xdr:sp macro="" textlink="">
          <xdr:nvSpPr>
            <xdr:cNvPr id="6168" name="Label13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6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8</xdr:row>
          <xdr:rowOff>76200</xdr:rowOff>
        </xdr:from>
        <xdr:to>
          <xdr:col>8</xdr:col>
          <xdr:colOff>1438275</xdr:colOff>
          <xdr:row>9</xdr:row>
          <xdr:rowOff>57150</xdr:rowOff>
        </xdr:to>
        <xdr:sp macro="" textlink="">
          <xdr:nvSpPr>
            <xdr:cNvPr id="6169" name="lbRealizarSaque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6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1257300</xdr:colOff>
          <xdr:row>31</xdr:row>
          <xdr:rowOff>85725</xdr:rowOff>
        </xdr:from>
        <xdr:to>
          <xdr:col>11</xdr:col>
          <xdr:colOff>542925</xdr:colOff>
          <xdr:row>33</xdr:row>
          <xdr:rowOff>9525</xdr:rowOff>
        </xdr:to>
        <xdr:sp macro="" textlink="">
          <xdr:nvSpPr>
            <xdr:cNvPr id="6170" name="Label10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6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1276350</xdr:colOff>
          <xdr:row>31</xdr:row>
          <xdr:rowOff>104775</xdr:rowOff>
        </xdr:from>
        <xdr:to>
          <xdr:col>11</xdr:col>
          <xdr:colOff>504825</xdr:colOff>
          <xdr:row>32</xdr:row>
          <xdr:rowOff>152400</xdr:rowOff>
        </xdr:to>
        <xdr:sp macro="" textlink="">
          <xdr:nvSpPr>
            <xdr:cNvPr id="6171" name="lbVoltarMenu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6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1257300</xdr:colOff>
          <xdr:row>29</xdr:row>
          <xdr:rowOff>152400</xdr:rowOff>
        </xdr:from>
        <xdr:to>
          <xdr:col>11</xdr:col>
          <xdr:colOff>542925</xdr:colOff>
          <xdr:row>31</xdr:row>
          <xdr:rowOff>76200</xdr:rowOff>
        </xdr:to>
        <xdr:sp macro="" textlink="">
          <xdr:nvSpPr>
            <xdr:cNvPr id="6173" name="Label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6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1276350</xdr:colOff>
          <xdr:row>29</xdr:row>
          <xdr:rowOff>171450</xdr:rowOff>
        </xdr:from>
        <xdr:to>
          <xdr:col>11</xdr:col>
          <xdr:colOff>504825</xdr:colOff>
          <xdr:row>31</xdr:row>
          <xdr:rowOff>28575</xdr:rowOff>
        </xdr:to>
        <xdr:sp macro="" textlink="">
          <xdr:nvSpPr>
            <xdr:cNvPr id="6174" name="lbExcluirItem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6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790575</xdr:colOff>
          <xdr:row>8</xdr:row>
          <xdr:rowOff>28575</xdr:rowOff>
        </xdr:from>
        <xdr:to>
          <xdr:col>10</xdr:col>
          <xdr:colOff>1657350</xdr:colOff>
          <xdr:row>10</xdr:row>
          <xdr:rowOff>28575</xdr:rowOff>
        </xdr:to>
        <xdr:sp macro="" textlink="">
          <xdr:nvSpPr>
            <xdr:cNvPr id="6176" name="tgbtEsteMes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6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1257300</xdr:colOff>
          <xdr:row>28</xdr:row>
          <xdr:rowOff>38100</xdr:rowOff>
        </xdr:from>
        <xdr:to>
          <xdr:col>11</xdr:col>
          <xdr:colOff>542925</xdr:colOff>
          <xdr:row>29</xdr:row>
          <xdr:rowOff>152400</xdr:rowOff>
        </xdr:to>
        <xdr:sp macro="" textlink="">
          <xdr:nvSpPr>
            <xdr:cNvPr id="6178" name="Label6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6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1276350</xdr:colOff>
          <xdr:row>28</xdr:row>
          <xdr:rowOff>57150</xdr:rowOff>
        </xdr:from>
        <xdr:to>
          <xdr:col>11</xdr:col>
          <xdr:colOff>504825</xdr:colOff>
          <xdr:row>29</xdr:row>
          <xdr:rowOff>104775</xdr:rowOff>
        </xdr:to>
        <xdr:sp macro="" textlink="">
          <xdr:nvSpPr>
            <xdr:cNvPr id="6179" name="lbAnalise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6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8</xdr:row>
          <xdr:rowOff>133350</xdr:rowOff>
        </xdr:from>
        <xdr:to>
          <xdr:col>11</xdr:col>
          <xdr:colOff>180975</xdr:colOff>
          <xdr:row>9</xdr:row>
          <xdr:rowOff>104775</xdr:rowOff>
        </xdr:to>
        <xdr:sp macro="" textlink="">
          <xdr:nvSpPr>
            <xdr:cNvPr id="6180" name="CheckBox1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6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38099</xdr:colOff>
      <xdr:row>2</xdr:row>
      <xdr:rowOff>57149</xdr:rowOff>
    </xdr:from>
    <xdr:to>
      <xdr:col>12</xdr:col>
      <xdr:colOff>219075</xdr:colOff>
      <xdr:row>19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257175</xdr:colOff>
      <xdr:row>20</xdr:row>
      <xdr:rowOff>76199</xdr:rowOff>
    </xdr:from>
    <xdr:to>
      <xdr:col>12</xdr:col>
      <xdr:colOff>219075</xdr:colOff>
      <xdr:row>31</xdr:row>
      <xdr:rowOff>142874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20</xdr:row>
      <xdr:rowOff>57150</xdr:rowOff>
    </xdr:from>
    <xdr:to>
      <xdr:col>5</xdr:col>
      <xdr:colOff>171450</xdr:colOff>
      <xdr:row>31</xdr:row>
      <xdr:rowOff>152400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32</xdr:row>
          <xdr:rowOff>95250</xdr:rowOff>
        </xdr:from>
        <xdr:to>
          <xdr:col>1</xdr:col>
          <xdr:colOff>600075</xdr:colOff>
          <xdr:row>34</xdr:row>
          <xdr:rowOff>161925</xdr:rowOff>
        </xdr:to>
        <xdr:sp macro="" textlink="">
          <xdr:nvSpPr>
            <xdr:cNvPr id="14338" name="btMenu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32</xdr:row>
          <xdr:rowOff>76200</xdr:rowOff>
        </xdr:from>
        <xdr:to>
          <xdr:col>3</xdr:col>
          <xdr:colOff>219075</xdr:colOff>
          <xdr:row>34</xdr:row>
          <xdr:rowOff>142875</xdr:rowOff>
        </xdr:to>
        <xdr:sp macro="" textlink="">
          <xdr:nvSpPr>
            <xdr:cNvPr id="14339" name="btFluxoCaixa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7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552450</xdr:colOff>
      <xdr:row>2</xdr:row>
      <xdr:rowOff>38100</xdr:rowOff>
    </xdr:from>
    <xdr:to>
      <xdr:col>18</xdr:col>
      <xdr:colOff>95249</xdr:colOff>
      <xdr:row>15</xdr:row>
      <xdr:rowOff>152399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58425" y="342900"/>
          <a:ext cx="2590799" cy="259079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fa" refreshedDate="44228.839442245371" createdVersion="6" refreshedVersion="6" minRefreshableVersion="3" recordCount="1" xr:uid="{CF3E571C-E364-44F2-AEED-1F0FC61C5374}">
  <cacheSource type="worksheet">
    <worksheetSource name="tabVENDAS"/>
  </cacheSource>
  <cacheFields count="9">
    <cacheField name="DATA" numFmtId="14">
      <sharedItems containsNonDate="0" containsString="0" containsBlank="1" count="1">
        <m/>
      </sharedItems>
    </cacheField>
    <cacheField name="TIPO" numFmtId="0">
      <sharedItems containsNonDate="0" containsBlank="1" count="5">
        <m/>
        <s v="BERMUDA" u="1"/>
        <s v="CAMISETA" u="1"/>
        <s v="BLUSA" u="1"/>
        <s v="CALÇA" u="1"/>
      </sharedItems>
    </cacheField>
    <cacheField name="DESCRIÇAO" numFmtId="0">
      <sharedItems containsNonDate="0" containsBlank="1" count="7">
        <m/>
        <s v="NIKE MOLETON" u="1"/>
        <s v="ADIDAS PRETA" u="1"/>
        <s v="FILA PRETA" u="1"/>
        <s v="CINZA MESCLA" u="1"/>
        <s v="TESTE" u="1"/>
        <s v="JEANS MRN" u="1"/>
      </sharedItems>
    </cacheField>
    <cacheField name="TAM." numFmtId="0">
      <sharedItems containsNonDate="0" containsBlank="1" count="5">
        <m/>
        <s v="G" u="1"/>
        <s v="GG" u="1"/>
        <s v="39-40" u="1"/>
        <s v="M" u="1"/>
      </sharedItems>
    </cacheField>
    <cacheField name="QNT." numFmtId="0">
      <sharedItems containsNonDate="0" containsString="0" containsBlank="1"/>
    </cacheField>
    <cacheField name="VALOR" numFmtId="44">
      <sharedItems containsNonDate="0" containsString="0" containsBlank="1"/>
    </cacheField>
    <cacheField name="DESCONTO/ACRESCIMO" numFmtId="44">
      <sharedItems containsNonDate="0" containsString="0" containsBlank="1"/>
    </cacheField>
    <cacheField name="CLIENTE" numFmtId="0">
      <sharedItems containsNonDate="0" containsBlank="1" count="6">
        <m/>
        <s v="RAFAEL LUNA" u="1"/>
        <s v="RAFAEL DE OLIVEIRA LUNA" u="1"/>
        <s v="MARIANA DOS SANTOS" u="1"/>
        <s v="PAÇOCA OLIVEIRA" u="1"/>
        <s v="AMANDA DE OLIVEIRA LUNA" u="1"/>
      </sharedItems>
    </cacheField>
    <cacheField name="METODO DE PAG." numFmtId="0">
      <sharedItems containsNonDate="0" containsBlank="1" count="4">
        <m/>
        <s v="CREDITO" u="1"/>
        <s v="DINHEIRO" u="1"/>
        <s v="DEBITO" u="1"/>
      </sharedItems>
    </cacheField>
  </cacheFields>
  <extLst>
    <ext xmlns:x14="http://schemas.microsoft.com/office/spreadsheetml/2009/9/main" uri="{725AE2AE-9491-48be-B2B4-4EB974FC3084}">
      <x14:pivotCacheDefinition pivotCacheId="117794686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x v="0"/>
    <x v="0"/>
    <m/>
    <m/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206C49-6220-40A1-A754-F47BCC019933}" name="Tabela dinâ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G1:H3" firstHeaderRow="1" firstDataRow="1" firstDataCol="1"/>
  <pivotFields count="9">
    <pivotField numFmtId="14" showAll="0"/>
    <pivotField showAll="0"/>
    <pivotField showAll="0"/>
    <pivotField showAll="0"/>
    <pivotField showAll="0"/>
    <pivotField dataField="1" numFmtId="44" showAll="0"/>
    <pivotField numFmtId="44" showAll="0"/>
    <pivotField showAll="0"/>
    <pivotField axis="axisRow" showAll="0">
      <items count="5">
        <item m="1" x="3"/>
        <item m="1" x="2"/>
        <item x="0"/>
        <item m="1" x="1"/>
        <item t="default"/>
      </items>
    </pivotField>
  </pivotFields>
  <rowFields count="1">
    <field x="8"/>
  </rowFields>
  <rowItems count="2">
    <i>
      <x v="2"/>
    </i>
    <i t="grand">
      <x/>
    </i>
  </rowItems>
  <colItems count="1">
    <i/>
  </colItems>
  <dataFields count="1">
    <dataField name="Soma de VALOR" fld="5" baseField="0" baseItem="0"/>
  </dataFields>
  <chartFormats count="4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A88E82-96D1-4D92-A85E-4B0911DCFB03}" name="Tabela dinâ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">
  <location ref="D3:E5" firstHeaderRow="1" firstDataRow="1" firstDataCol="1" rowPageCount="1" colPageCount="1"/>
  <pivotFields count="9">
    <pivotField numFmtId="14" showAll="0"/>
    <pivotField axis="axisRow" showAll="0">
      <items count="6">
        <item m="1" x="2"/>
        <item m="1" x="1"/>
        <item x="0"/>
        <item m="1" x="3"/>
        <item m="1" x="4"/>
        <item t="default"/>
      </items>
    </pivotField>
    <pivotField showAll="0"/>
    <pivotField axis="axisPage" multipleItemSelectionAllowed="1" showAll="0">
      <items count="6">
        <item m="1" x="1"/>
        <item m="1" x="4"/>
        <item m="1" x="3"/>
        <item m="1" x="2"/>
        <item x="0"/>
        <item t="default"/>
      </items>
    </pivotField>
    <pivotField showAll="0"/>
    <pivotField dataField="1" numFmtId="44" showAll="0"/>
    <pivotField numFmtId="44" showAll="0"/>
    <pivotField showAll="0"/>
    <pivotField showAll="0"/>
  </pivotFields>
  <rowFields count="1">
    <field x="1"/>
  </rowFields>
  <rowItems count="2">
    <i>
      <x v="2"/>
    </i>
    <i t="grand">
      <x/>
    </i>
  </rowItems>
  <colItems count="1">
    <i/>
  </colItems>
  <pageFields count="1">
    <pageField fld="3" hier="-1"/>
  </pageFields>
  <dataFields count="1">
    <dataField name="Soma de VALOR" fld="5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936AC9-E46C-482E-8BC8-FB262A35EF31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A7:B9" firstHeaderRow="1" firstDataRow="1" firstDataCol="1" rowPageCount="5" colPageCount="1"/>
  <pivotFields count="9">
    <pivotField axis="axisRow" numFmtId="14" showAll="0" sortType="ascending">
      <items count="2">
        <item x="0"/>
        <item t="default"/>
      </items>
    </pivotField>
    <pivotField axis="axisPage" showAll="0">
      <items count="6">
        <item m="1" x="2"/>
        <item m="1" x="1"/>
        <item x="0"/>
        <item m="1" x="3"/>
        <item m="1" x="4"/>
        <item t="default"/>
      </items>
    </pivotField>
    <pivotField axis="axisPage" showAll="0">
      <items count="8">
        <item m="1" x="2"/>
        <item m="1" x="1"/>
        <item x="0"/>
        <item m="1" x="5"/>
        <item m="1" x="3"/>
        <item m="1" x="4"/>
        <item m="1" x="6"/>
        <item t="default"/>
      </items>
    </pivotField>
    <pivotField axis="axisPage" showAll="0">
      <items count="6">
        <item m="1" x="1"/>
        <item m="1" x="4"/>
        <item m="1" x="3"/>
        <item m="1" x="2"/>
        <item x="0"/>
        <item t="default"/>
      </items>
    </pivotField>
    <pivotField showAll="0"/>
    <pivotField dataField="1" numFmtId="44" showAll="0"/>
    <pivotField numFmtId="44" showAll="0"/>
    <pivotField axis="axisPage" showAll="0">
      <items count="7">
        <item m="1" x="2"/>
        <item m="1" x="5"/>
        <item x="0"/>
        <item m="1" x="1"/>
        <item m="1" x="4"/>
        <item m="1" x="3"/>
        <item t="default"/>
      </items>
    </pivotField>
    <pivotField axis="axisPage" showAll="0">
      <items count="5">
        <item m="1" x="3"/>
        <item m="1" x="2"/>
        <item x="0"/>
        <item m="1" x="1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pageFields count="5">
    <pageField fld="2" hier="-1"/>
    <pageField fld="1" hier="-1"/>
    <pageField fld="3" hier="-1"/>
    <pageField fld="7" hier="-1"/>
    <pageField fld="8" hier="-1"/>
  </pageFields>
  <dataFields count="1">
    <dataField name="Soma de VALOR" fld="5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DADCDFE-FA61-4AC1-AC8C-7678FC2DDE57}" name="tabCLIENTES" displayName="tabCLIENTES" ref="A1:H2" insertRow="1" totalsRowShown="0" headerRowDxfId="69" dataDxfId="68">
  <autoFilter ref="A1:H2" xr:uid="{501E6423-8CFC-4A6E-9002-C7242B9AB0FA}"/>
  <tableColumns count="8">
    <tableColumn id="1" xr3:uid="{89424E5F-2B0D-4512-B174-8EB2BB0EC09A}" name="NOME" dataDxfId="67"/>
    <tableColumn id="2" xr3:uid="{DDB2187C-A6ED-4AF2-84B5-0252AE82B9E7}" name="RUA" dataDxfId="66"/>
    <tableColumn id="3" xr3:uid="{E912C529-8A9A-4DDA-BE97-89B9EC89D702}" name="N°" dataDxfId="65"/>
    <tableColumn id="4" xr3:uid="{60F8E28C-5623-4D7D-8843-D38D2EE4231D}" name="TELEFONE" dataDxfId="64"/>
    <tableColumn id="5" xr3:uid="{0D1FF0EE-86DA-46B6-9544-DBF0A9A50A2B}" name="CPF" dataDxfId="63"/>
    <tableColumn id="6" xr3:uid="{8C8FE4E4-60DF-462F-82F9-991DABE8DA91}" name="SEXO" dataDxfId="62"/>
    <tableColumn id="7" xr3:uid="{1011D327-E2C5-451F-8ADF-D7AFCA8FCE65}" name="DATA DE CADASTRO" dataDxfId="61"/>
    <tableColumn id="8" xr3:uid="{806E6CA6-F83A-4DBE-8133-E99B858B88BA}" name="TOTAL GASTO" dataDxfId="60" dataCellStyle="Moeda">
      <calculatedColumnFormula>SUMIF(tabVENDAS[CLIENTE],"="&amp;tabCLIENTES[[#This Row],[NOME]],tabVENDAS[VALOR])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E5C100-07A6-435B-BFE6-B12A65427B1B}" name="Tabela8" displayName="Tabela8" ref="A1:G2" insertRow="1" totalsRowShown="0">
  <autoFilter ref="A1:G2" xr:uid="{EFBF0742-81F1-4017-8FC0-9908A57AA6CA}"/>
  <tableColumns count="7">
    <tableColumn id="1" xr3:uid="{8B163F51-8698-4A03-9327-10070BD7FF83}" name="NOME" dataDxfId="59"/>
    <tableColumn id="2" xr3:uid="{A74C3AB1-B0C7-4FA4-B3FA-7489B7958CAE}" name="RUA"/>
    <tableColumn id="6" xr3:uid="{BF155C87-24C9-44EB-9C15-56346B50B944}" name="Nº"/>
    <tableColumn id="3" xr3:uid="{D0D04092-C734-4FE7-BF3D-11397655FACA}" name="TELEFONE 1"/>
    <tableColumn id="4" xr3:uid="{9D9E573B-FF0E-40D8-AF85-2DCFD710616C}" name="TELEFONE 2"/>
    <tableColumn id="5" xr3:uid="{2763E40C-5EDC-4CF1-8232-E8E450F51EC0}" name="E-MAIL"/>
    <tableColumn id="7" xr3:uid="{53D7764C-BA65-44B1-A24E-5453A25E923E}" name="DATA DE CADASTRO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C871C21-2A2C-4F03-9D15-E746D7C282C7}" name="tabESTOQUE" displayName="tabESTOQUE" ref="A1:J2" insertRow="1" totalsRowShown="0" dataDxfId="55" dataCellStyle="Moeda">
  <autoFilter ref="A1:J2" xr:uid="{387D73DC-ADF4-4AD6-9990-1F37ED4D01A1}"/>
  <tableColumns count="10">
    <tableColumn id="1" xr3:uid="{9C2F565D-E346-49BE-A4BA-9A1280CFF28D}" name="TIPO" dataDxfId="54"/>
    <tableColumn id="2" xr3:uid="{98A3FFCF-7030-469E-8730-9BD7A23967D1}" name="DESCRICAO" dataDxfId="53"/>
    <tableColumn id="3" xr3:uid="{5A60E5D1-5514-4E77-8332-EC232D078E36}" name="FORNECEDOR" dataDxfId="52"/>
    <tableColumn id="4" xr3:uid="{6D840357-57B0-4DA0-9C3B-7E5C492C7122}" name="ESTOQUE MINIMO" dataDxfId="51"/>
    <tableColumn id="5" xr3:uid="{BB193AB8-CEAD-43F7-AA3F-25857BDAE2C6}" name="ESTOQUE INICIAL" dataDxfId="50"/>
    <tableColumn id="6" xr3:uid="{F1D8355D-DD3E-450F-B9D0-A0F018C11722}" name="ESTOQUE ATUAL" dataDxfId="49">
      <calculatedColumnFormula>SUMIF(COMPRAS!C:C,tabESTOQUE[[#This Row],[DESCRICAO]],COMPRAS!E:E) - SUMIF(VENDAS!C:C,tabESTOQUE[[#This Row],[DESCRICAO]],VENDAS!E:E) +tabESTOQUE[[#This Row],[ESTOQUE INICIAL]]</calculatedColumnFormula>
    </tableColumn>
    <tableColumn id="7" xr3:uid="{E583D640-3389-40E3-8332-5D736E7E4676}" name="ESTADO DO ESTOQUE" dataDxfId="48">
      <calculatedColumnFormula>IF(tabESTOQUE[[#This Row],[ESTOQUE ATUAL]]&gt;tabESTOQUE[[#This Row],[ESTOQUE MINIMO]],"ESTOQUE SAUDÁVEL",IF(tabESTOQUE[[#This Row],[ESTOQUE ATUAL]] = tabESTOQUE[[#This Row],[ESTOQUE MINIMO]],"NECESSITA DE COMPRA",IF(tabESTOQUE[[#This Row],[ESTOQUE ATUAL]]&lt;tabESTOQUE[[#This Row],[ESTOQUE MINIMO]],"ESTOQUE ABAIXO DO LIMITE")))</calculatedColumnFormula>
    </tableColumn>
    <tableColumn id="8" xr3:uid="{BBFB89D7-B591-4EAB-A2AC-527109A54595}" name="PRECO DE CUSTO" dataDxfId="47" dataCellStyle="Moeda"/>
    <tableColumn id="9" xr3:uid="{2CA005AC-6E5A-4F6E-A708-D00C6EDDB4DC}" name="PRECO DE VENDA" dataDxfId="46" dataCellStyle="Moeda"/>
    <tableColumn id="10" xr3:uid="{ECEC30F5-33C4-4A49-95D1-A40BAF6AB300}" name="DESCONTO MÁX. DISP." dataDxfId="45" dataCellStyle="Moeda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7D95FBF-22C8-44CC-9E11-5F976B560DCD}" name="tabTIPOS" displayName="tabTIPOS" ref="K1:K3" totalsRowShown="0" headerRowDxfId="44" dataDxfId="43">
  <autoFilter ref="K1:K3" xr:uid="{AC5801B5-931A-492E-A947-2F38F6730DBF}"/>
  <tableColumns count="1">
    <tableColumn id="1" xr3:uid="{5DD4CE74-7764-4194-B9B8-998CB6E8123D}" name="TIPOS DE PRODUTOS" dataDxfId="42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7EAE23D-FB1C-4014-B214-BC66FF38D4A3}" name="tabDIRETORIOS" displayName="tabDIRETORIOS" ref="AA1:AB2" insertRow="1" totalsRowShown="0" headerRowDxfId="41" dataDxfId="40">
  <autoFilter ref="AA1:AB2" xr:uid="{ABAD371A-8A5C-43FE-BD0E-09C5FA5F69C4}"/>
  <tableColumns count="2">
    <tableColumn id="1" xr3:uid="{BA3D9182-29AA-474D-BB65-EFE93419327F}" name="endereço de imagem" dataDxfId="39"/>
    <tableColumn id="2" xr3:uid="{3FA8C48A-3F0F-4579-88E4-E605515950B7}" name="endereço referenciado a:" dataDxfId="38">
      <calculatedColumnFormula>B2</calculatedColumnFormula>
    </tableColumn>
  </tableColumns>
  <tableStyleInfo name="TableStyleLight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F41F91-461B-4949-92B2-A73DC8C59AEF}" name="tabTAMANHOS" displayName="tabTAMANHOS" ref="L1:X2" insertRow="1" totalsRowShown="0" headerRowDxfId="37" dataDxfId="36">
  <autoFilter ref="L1:X2" xr:uid="{1950C08B-B2E4-4B21-9338-77CBD3B40184}"/>
  <tableColumns count="13">
    <tableColumn id="1" xr3:uid="{40B5B4A8-478C-40F0-B723-E6FFE34FFB9A}" name="PRODUTO" dataDxfId="35">
      <calculatedColumnFormula>tabESTOQUE[[#This Row],[TIPO]] &amp;" - " &amp;tabESTOQUE[[#This Row],[DESCRICAO]]</calculatedColumnFormula>
    </tableColumn>
    <tableColumn id="2" xr3:uid="{806313AC-25F9-4DA7-9E76-4589CFABBD52}" name="PP" dataDxfId="34"/>
    <tableColumn id="3" xr3:uid="{F607A911-6298-48ED-B519-ADA2391ED704}" name="P" dataDxfId="33"/>
    <tableColumn id="4" xr3:uid="{58476B30-8421-48E2-B709-463C04D6734B}" name="M" dataDxfId="32"/>
    <tableColumn id="5" xr3:uid="{499F3066-4050-4723-9564-2EF9764118FD}" name="G" dataDxfId="31"/>
    <tableColumn id="6" xr3:uid="{D0776396-035C-46FA-83FA-E9C6D94BE829}" name="GG" dataDxfId="30"/>
    <tableColumn id="7" xr3:uid="{80AEF0E9-3936-4015-95AD-F1A5E2531B51}" name="GGG" dataDxfId="29"/>
    <tableColumn id="8" xr3:uid="{49646763-3883-4662-8F3D-12ED4D76CD79}" name="33-34" dataDxfId="28"/>
    <tableColumn id="9" xr3:uid="{152155D8-8C61-484F-9BA4-A1770E8005A8}" name="35-36" dataDxfId="27"/>
    <tableColumn id="10" xr3:uid="{3F61DBF6-DDE8-449B-AAD5-75E7B1B56C0E}" name="37-38" dataDxfId="26"/>
    <tableColumn id="11" xr3:uid="{91437989-D80C-4141-A506-48C9C8F60A8A}" name="39-40" dataDxfId="25"/>
    <tableColumn id="12" xr3:uid="{77D72C9A-5262-4A6D-959F-0FE91BF3A876}" name="41-42" dataDxfId="24"/>
    <tableColumn id="13" xr3:uid="{396DAC2D-944B-4B5E-8D97-72F61AEB5F3F}" name="43-44" dataDxfId="23"/>
  </tableColumns>
  <tableStyleInfo name="TableStyleLight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74962AD-BE9E-48AC-9774-1554CF7B41D6}" name="tabCOMPRAS" displayName="tabCOMPRAS" ref="A1:G2" totalsRowShown="0">
  <autoFilter ref="A1:G2" xr:uid="{EADF80E6-A39A-4AA1-BF9B-C4FD28CDFF6A}"/>
  <tableColumns count="7">
    <tableColumn id="1" xr3:uid="{E69D4308-D0CB-43C9-93FA-209A72CCB7D7}" name="DATA" dataDxfId="22"/>
    <tableColumn id="2" xr3:uid="{7FFE80D6-8EF0-48FC-B58D-7FB580CB0E09}" name="TIPO"/>
    <tableColumn id="3" xr3:uid="{D32106E0-43F7-4677-9E77-E0D245BC4034}" name="DESCRIÇÃO"/>
    <tableColumn id="7" xr3:uid="{8FECB199-1F48-405E-B8BE-EB1A17FA91D2}" name="TAMANHO" dataDxfId="21"/>
    <tableColumn id="5" xr3:uid="{7FADD1A8-3EAC-4E72-B658-D5C846EB98D0}" name="QNT." dataDxfId="20"/>
    <tableColumn id="4" xr3:uid="{E29E0687-F700-46F6-9641-6630269CEABD}" name="VALOR UNITARIO" dataCellStyle="Moeda"/>
    <tableColumn id="6" xr3:uid="{93194B1A-319B-462E-A017-B3AFFFC868C5}" name="VALOR TOTAL" dataCellStyle="Moeda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757A6CE-588B-4863-8E4F-64E3BEC5ACC0}" name="tabVENDAS" displayName="tabVENDAS" ref="A1:I2" insertRow="1">
  <autoFilter ref="A1:I2" xr:uid="{A2550360-BF5E-43F7-951B-05FB5BE75DBE}"/>
  <tableColumns count="9">
    <tableColumn id="1" xr3:uid="{5F261934-A3AB-43CC-8266-061C7CCE842A}" name="DATA" totalsRowLabel="Total" dataDxfId="19"/>
    <tableColumn id="8" xr3:uid="{90233C5B-E9A7-4A38-B369-A5DED07B6075}" name="TIPO" dataDxfId="18"/>
    <tableColumn id="10" xr3:uid="{46242DBB-4E9C-46B8-83E1-3170B097A919}" name="DESCRIÇAO"/>
    <tableColumn id="7" xr3:uid="{DDD4AD34-3272-4987-A902-C8CBB9176794}" name="TAM." dataDxfId="17"/>
    <tableColumn id="9" xr3:uid="{4444FCED-DAD8-4931-9C01-CEAE622F2071}" name="QNT." dataDxfId="16"/>
    <tableColumn id="3" xr3:uid="{A9E18D50-94EF-427D-B25D-A90E4AEA6D4C}" name="VALOR" totalsRowFunction="sum" dataDxfId="15" totalsRowDxfId="14"/>
    <tableColumn id="2" xr3:uid="{B35FDD28-A5EB-4EC7-9FCF-6E121FB99594}" name="DESCONTO/ACRESCIMO" totalsRowDxfId="13" dataCellStyle="Moeda"/>
    <tableColumn id="4" xr3:uid="{3BEC3854-ED4F-4F9F-9ECC-7E8C347AB292}" name="CLIENTE" dataDxfId="12" totalsRowDxfId="11"/>
    <tableColumn id="6" xr3:uid="{F575703D-84A0-4671-B308-D95EE859BF59}" name="METODO DE PAG.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134DC6-7F0C-4F2C-9BF0-70DA1D897F31}" name="tabFLUXO_CAIXA" displayName="tabFLUXO_CAIXA" ref="A1:D3" insertRow="1" totalsRowCount="1" headerRowDxfId="10" dataDxfId="9" totalsRowDxfId="8">
  <autoFilter ref="A1:D2" xr:uid="{5EFE995D-B8E7-4FE4-B00E-AF3413D33F99}"/>
  <tableColumns count="4">
    <tableColumn id="1" xr3:uid="{D8F00AE0-65D1-4EF6-88BB-9E382F6B8244}" name="DATA" totalsRowLabel="TOTAL:" dataDxfId="7" totalsRowDxfId="6"/>
    <tableColumn id="2" xr3:uid="{E8DE8359-32F2-47BA-8442-0C247280D8C4}" name="ENTRADAS" totalsRowFunction="sum" dataDxfId="5" totalsRowDxfId="4" dataCellStyle="Moeda"/>
    <tableColumn id="3" xr3:uid="{52A407B3-7FAE-464B-8E90-2B1EBF52421D}" name="SAIDAS" totalsRowFunction="sum" dataDxfId="3" totalsRowDxfId="2" dataCellStyle="Moeda"/>
    <tableColumn id="4" xr3:uid="{5AEB9245-5A11-4705-9FFF-87C100D360C0}" name="DESCRIÇÃO" dataDxfId="1" totalsRow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ysClr val="window" lastClr="FFFFFF"/>
      </a:lt1>
      <a:dk2>
        <a:srgbClr val="16646E"/>
      </a:dk2>
      <a:lt2>
        <a:srgbClr val="DBEFF9"/>
      </a:lt2>
      <a:accent1>
        <a:srgbClr val="06AAD0"/>
      </a:accent1>
      <a:accent2>
        <a:srgbClr val="00C0E6"/>
      </a:accent2>
      <a:accent3>
        <a:srgbClr val="0BD0D9"/>
      </a:accent3>
      <a:accent4>
        <a:srgbClr val="59E9E2"/>
      </a:accent4>
      <a:accent5>
        <a:srgbClr val="99F0F9"/>
      </a:accent5>
      <a:accent6>
        <a:srgbClr val="C8F7FC"/>
      </a:accent6>
      <a:hlink>
        <a:srgbClr val="D8810E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5" Type="http://schemas.openxmlformats.org/officeDocument/2006/relationships/image" Target="../media/image17.emf"/><Relationship Id="rId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20.emf"/><Relationship Id="rId5" Type="http://schemas.openxmlformats.org/officeDocument/2006/relationships/control" Target="../activeX/activeX18.xml"/><Relationship Id="rId4" Type="http://schemas.openxmlformats.org/officeDocument/2006/relationships/image" Target="../media/image19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0.xml"/><Relationship Id="rId11" Type="http://schemas.openxmlformats.org/officeDocument/2006/relationships/table" Target="../tables/table6.xml"/><Relationship Id="rId5" Type="http://schemas.openxmlformats.org/officeDocument/2006/relationships/image" Target="../media/image21.emf"/><Relationship Id="rId10" Type="http://schemas.openxmlformats.org/officeDocument/2006/relationships/table" Target="../tables/table5.xml"/><Relationship Id="rId4" Type="http://schemas.openxmlformats.org/officeDocument/2006/relationships/control" Target="../activeX/activeX19.xml"/><Relationship Id="rId9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5" Type="http://schemas.openxmlformats.org/officeDocument/2006/relationships/image" Target="../media/image23.emf"/><Relationship Id="rId4" Type="http://schemas.openxmlformats.org/officeDocument/2006/relationships/control" Target="../activeX/activeX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table" Target="../tables/table8.xml"/><Relationship Id="rId4" Type="http://schemas.openxmlformats.org/officeDocument/2006/relationships/image" Target="../media/image24.emf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emf"/><Relationship Id="rId18" Type="http://schemas.openxmlformats.org/officeDocument/2006/relationships/control" Target="../activeX/activeX30.xml"/><Relationship Id="rId26" Type="http://schemas.openxmlformats.org/officeDocument/2006/relationships/control" Target="../activeX/activeX34.xml"/><Relationship Id="rId39" Type="http://schemas.openxmlformats.org/officeDocument/2006/relationships/image" Target="../media/image42.emf"/><Relationship Id="rId21" Type="http://schemas.openxmlformats.org/officeDocument/2006/relationships/image" Target="../media/image33.emf"/><Relationship Id="rId34" Type="http://schemas.openxmlformats.org/officeDocument/2006/relationships/control" Target="../activeX/activeX38.xml"/><Relationship Id="rId42" Type="http://schemas.openxmlformats.org/officeDocument/2006/relationships/control" Target="../activeX/activeX42.x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4.xml"/><Relationship Id="rId11" Type="http://schemas.openxmlformats.org/officeDocument/2006/relationships/image" Target="../media/image28.emf"/><Relationship Id="rId24" Type="http://schemas.openxmlformats.org/officeDocument/2006/relationships/control" Target="../activeX/activeX33.xml"/><Relationship Id="rId32" Type="http://schemas.openxmlformats.org/officeDocument/2006/relationships/control" Target="../activeX/activeX37.xml"/><Relationship Id="rId37" Type="http://schemas.openxmlformats.org/officeDocument/2006/relationships/image" Target="../media/image41.emf"/><Relationship Id="rId40" Type="http://schemas.openxmlformats.org/officeDocument/2006/relationships/control" Target="../activeX/activeX41.xml"/><Relationship Id="rId45" Type="http://schemas.openxmlformats.org/officeDocument/2006/relationships/image" Target="../media/image45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5.xml"/><Relationship Id="rId36" Type="http://schemas.openxmlformats.org/officeDocument/2006/relationships/control" Target="../activeX/activeX39.xml"/><Relationship Id="rId10" Type="http://schemas.openxmlformats.org/officeDocument/2006/relationships/control" Target="../activeX/activeX26.xml"/><Relationship Id="rId19" Type="http://schemas.openxmlformats.org/officeDocument/2006/relationships/image" Target="../media/image32.emf"/><Relationship Id="rId31" Type="http://schemas.openxmlformats.org/officeDocument/2006/relationships/image" Target="../media/image38.emf"/><Relationship Id="rId44" Type="http://schemas.openxmlformats.org/officeDocument/2006/relationships/control" Target="../activeX/activeX43.xml"/><Relationship Id="rId4" Type="http://schemas.openxmlformats.org/officeDocument/2006/relationships/control" Target="../activeX/activeX23.xml"/><Relationship Id="rId9" Type="http://schemas.openxmlformats.org/officeDocument/2006/relationships/image" Target="../media/image27.emf"/><Relationship Id="rId14" Type="http://schemas.openxmlformats.org/officeDocument/2006/relationships/control" Target="../activeX/activeX28.xml"/><Relationship Id="rId22" Type="http://schemas.openxmlformats.org/officeDocument/2006/relationships/control" Target="../activeX/activeX32.xml"/><Relationship Id="rId27" Type="http://schemas.openxmlformats.org/officeDocument/2006/relationships/image" Target="../media/image36.emf"/><Relationship Id="rId30" Type="http://schemas.openxmlformats.org/officeDocument/2006/relationships/control" Target="../activeX/activeX36.xml"/><Relationship Id="rId35" Type="http://schemas.openxmlformats.org/officeDocument/2006/relationships/image" Target="../media/image40.emf"/><Relationship Id="rId43" Type="http://schemas.openxmlformats.org/officeDocument/2006/relationships/image" Target="../media/image44.emf"/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12" Type="http://schemas.openxmlformats.org/officeDocument/2006/relationships/control" Target="../activeX/activeX27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33" Type="http://schemas.openxmlformats.org/officeDocument/2006/relationships/image" Target="../media/image39.emf"/><Relationship Id="rId38" Type="http://schemas.openxmlformats.org/officeDocument/2006/relationships/control" Target="../activeX/activeX40.xml"/><Relationship Id="rId46" Type="http://schemas.openxmlformats.org/officeDocument/2006/relationships/table" Target="../tables/table9.xml"/><Relationship Id="rId20" Type="http://schemas.openxmlformats.org/officeDocument/2006/relationships/control" Target="../activeX/activeX31.xml"/><Relationship Id="rId41" Type="http://schemas.openxmlformats.org/officeDocument/2006/relationships/image" Target="../media/image4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4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5.xml"/><Relationship Id="rId5" Type="http://schemas.openxmlformats.org/officeDocument/2006/relationships/image" Target="../media/image46.emf"/><Relationship Id="rId4" Type="http://schemas.openxmlformats.org/officeDocument/2006/relationships/control" Target="../activeX/activeX4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E0AA4-74CA-40BB-B59E-44EF05D7C3EC}">
  <sheetPr codeName="Planilha2">
    <tabColor theme="0"/>
  </sheetPr>
  <dimension ref="A1:S36"/>
  <sheetViews>
    <sheetView showGridLines="0" showRowColHeaders="0" tabSelected="1" workbookViewId="0">
      <selection activeCell="M6" sqref="M6"/>
    </sheetView>
  </sheetViews>
  <sheetFormatPr defaultColWidth="0" defaultRowHeight="15" zeroHeight="1" x14ac:dyDescent="0.25"/>
  <cols>
    <col min="1" max="1" width="9.140625" customWidth="1"/>
    <col min="2" max="2" width="10.85546875" customWidth="1"/>
    <col min="3" max="3" width="11.85546875" customWidth="1"/>
    <col min="4" max="4" width="9.7109375" customWidth="1"/>
    <col min="5" max="5" width="9.140625" customWidth="1"/>
    <col min="6" max="6" width="8.7109375" customWidth="1"/>
    <col min="7" max="17" width="9.140625" customWidth="1"/>
    <col min="18" max="18" width="16" customWidth="1"/>
    <col min="19" max="19" width="19.140625" customWidth="1"/>
    <col min="20" max="16384" width="9.140625" hidden="1"/>
  </cols>
  <sheetData>
    <row r="1" spans="3:3" x14ac:dyDescent="0.25"/>
    <row r="2" spans="3:3" ht="23.25" customHeight="1" x14ac:dyDescent="0.25"/>
    <row r="3" spans="3:3" ht="21.75" customHeight="1" x14ac:dyDescent="0.25"/>
    <row r="4" spans="3:3" ht="21" x14ac:dyDescent="0.25">
      <c r="C4" s="5"/>
    </row>
    <row r="5" spans="3:3" ht="20.25" customHeight="1" x14ac:dyDescent="0.35">
      <c r="C5" s="6"/>
    </row>
    <row r="6" spans="3:3" ht="16.5" customHeight="1" x14ac:dyDescent="0.25"/>
    <row r="7" spans="3:3" x14ac:dyDescent="0.25"/>
    <row r="8" spans="3:3" x14ac:dyDescent="0.25"/>
    <row r="9" spans="3:3" x14ac:dyDescent="0.25"/>
    <row r="10" spans="3:3" x14ac:dyDescent="0.25"/>
    <row r="11" spans="3:3" x14ac:dyDescent="0.25"/>
    <row r="12" spans="3:3" x14ac:dyDescent="0.25"/>
    <row r="13" spans="3:3" x14ac:dyDescent="0.25"/>
    <row r="14" spans="3:3" x14ac:dyDescent="0.25"/>
    <row r="15" spans="3:3" x14ac:dyDescent="0.25"/>
    <row r="16" spans="3:3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ht="21.75" customHeight="1" x14ac:dyDescent="0.25"/>
  </sheetData>
  <sheetProtection algorithmName="SHA-512" hashValue="X2YIBTY0EpscNfcEuE5QUvgKt836eprL7f+qZWeSioHFDiBOdHienWUZcUt6erVbJXaVLqjA/5L5AsqAmi1hjg==" saltValue="wavX+B6xTSiPvaUFLD1p7A==" spinCount="100000" sheet="1" objects="1" scenarios="1" selectLockedCells="1" selectUnlockedCells="1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3" r:id="rId4" name="lbCadastrarFornecedor">
          <controlPr defaultSize="0" autoLine="0" r:id="rId5">
            <anchor moveWithCells="1">
              <from>
                <xdr:col>4</xdr:col>
                <xdr:colOff>495300</xdr:colOff>
                <xdr:row>18</xdr:row>
                <xdr:rowOff>114300</xdr:rowOff>
              </from>
              <to>
                <xdr:col>8</xdr:col>
                <xdr:colOff>304800</xdr:colOff>
                <xdr:row>19</xdr:row>
                <xdr:rowOff>171450</xdr:rowOff>
              </to>
            </anchor>
          </controlPr>
        </control>
      </mc:Choice>
      <mc:Fallback>
        <control shapeId="2063" r:id="rId4" name="lbCadastrarFornecedor"/>
      </mc:Fallback>
    </mc:AlternateContent>
    <mc:AlternateContent xmlns:mc="http://schemas.openxmlformats.org/markup-compatibility/2006">
      <mc:Choice Requires="x14">
        <control shapeId="2062" r:id="rId6" name="lbCadastrarCliente">
          <controlPr defaultSize="0" autoLine="0" r:id="rId7">
            <anchor moveWithCells="1">
              <from>
                <xdr:col>4</xdr:col>
                <xdr:colOff>495300</xdr:colOff>
                <xdr:row>17</xdr:row>
                <xdr:rowOff>28575</xdr:rowOff>
              </from>
              <to>
                <xdr:col>8</xdr:col>
                <xdr:colOff>304800</xdr:colOff>
                <xdr:row>18</xdr:row>
                <xdr:rowOff>85725</xdr:rowOff>
              </to>
            </anchor>
          </controlPr>
        </control>
      </mc:Choice>
      <mc:Fallback>
        <control shapeId="2062" r:id="rId6" name="lbCadastrarCliente"/>
      </mc:Fallback>
    </mc:AlternateContent>
    <mc:AlternateContent xmlns:mc="http://schemas.openxmlformats.org/markup-compatibility/2006">
      <mc:Choice Requires="x14">
        <control shapeId="2061" r:id="rId8" name="lbCompra">
          <controlPr defaultSize="0" autoLine="0" r:id="rId9">
            <anchor moveWithCells="1">
              <from>
                <xdr:col>8</xdr:col>
                <xdr:colOff>342900</xdr:colOff>
                <xdr:row>15</xdr:row>
                <xdr:rowOff>19050</xdr:rowOff>
              </from>
              <to>
                <xdr:col>12</xdr:col>
                <xdr:colOff>123825</xdr:colOff>
                <xdr:row>17</xdr:row>
                <xdr:rowOff>0</xdr:rowOff>
              </to>
            </anchor>
          </controlPr>
        </control>
      </mc:Choice>
      <mc:Fallback>
        <control shapeId="2061" r:id="rId8" name="lbCompra"/>
      </mc:Fallback>
    </mc:AlternateContent>
    <mc:AlternateContent xmlns:mc="http://schemas.openxmlformats.org/markup-compatibility/2006">
      <mc:Choice Requires="x14">
        <control shapeId="2060" r:id="rId10" name="COMPRAS_VENDAS">
          <controlPr defaultSize="0" autoLine="0" r:id="rId11">
            <anchor moveWithCells="1">
              <from>
                <xdr:col>0</xdr:col>
                <xdr:colOff>0</xdr:colOff>
                <xdr:row>15</xdr:row>
                <xdr:rowOff>19050</xdr:rowOff>
              </from>
              <to>
                <xdr:col>4</xdr:col>
                <xdr:colOff>400050</xdr:colOff>
                <xdr:row>17</xdr:row>
                <xdr:rowOff>0</xdr:rowOff>
              </to>
            </anchor>
          </controlPr>
        </control>
      </mc:Choice>
      <mc:Fallback>
        <control shapeId="2060" r:id="rId10" name="COMPRAS_VENDAS"/>
      </mc:Fallback>
    </mc:AlternateContent>
    <mc:AlternateContent xmlns:mc="http://schemas.openxmlformats.org/markup-compatibility/2006">
      <mc:Choice Requires="x14">
        <control shapeId="2059" r:id="rId12" name="lbVenda">
          <controlPr defaultSize="0" autoLine="0" r:id="rId13">
            <anchor moveWithCells="1">
              <from>
                <xdr:col>4</xdr:col>
                <xdr:colOff>504825</xdr:colOff>
                <xdr:row>15</xdr:row>
                <xdr:rowOff>19050</xdr:rowOff>
              </from>
              <to>
                <xdr:col>8</xdr:col>
                <xdr:colOff>304800</xdr:colOff>
                <xdr:row>17</xdr:row>
                <xdr:rowOff>0</xdr:rowOff>
              </to>
            </anchor>
          </controlPr>
        </control>
      </mc:Choice>
      <mc:Fallback>
        <control shapeId="2059" r:id="rId12" name="lbVenda"/>
      </mc:Fallback>
    </mc:AlternateContent>
    <mc:AlternateContent xmlns:mc="http://schemas.openxmlformats.org/markup-compatibility/2006">
      <mc:Choice Requires="x14">
        <control shapeId="2054" r:id="rId14" name="lbCadastrarProduto">
          <controlPr defaultSize="0" autoLine="0" r:id="rId15">
            <anchor moveWithCells="1">
              <from>
                <xdr:col>4</xdr:col>
                <xdr:colOff>504825</xdr:colOff>
                <xdr:row>13</xdr:row>
                <xdr:rowOff>9525</xdr:rowOff>
              </from>
              <to>
                <xdr:col>8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54" r:id="rId14" name="lbCadastrarProduto"/>
      </mc:Fallback>
    </mc:AlternateContent>
    <mc:AlternateContent xmlns:mc="http://schemas.openxmlformats.org/markup-compatibility/2006">
      <mc:Choice Requires="x14">
        <control shapeId="2055" r:id="rId16" name="lbAlterarProduto">
          <controlPr defaultSize="0" autoLine="0" r:id="rId17">
            <anchor moveWithCells="1">
              <from>
                <xdr:col>4</xdr:col>
                <xdr:colOff>504825</xdr:colOff>
                <xdr:row>15</xdr:row>
                <xdr:rowOff>9525</xdr:rowOff>
              </from>
              <to>
                <xdr:col>8</xdr:col>
                <xdr:colOff>314325</xdr:colOff>
                <xdr:row>16</xdr:row>
                <xdr:rowOff>0</xdr:rowOff>
              </to>
            </anchor>
          </controlPr>
        </control>
      </mc:Choice>
      <mc:Fallback>
        <control shapeId="2055" r:id="rId16" name="lbAlterarProduto"/>
      </mc:Fallback>
    </mc:AlternateContent>
    <mc:AlternateContent xmlns:mc="http://schemas.openxmlformats.org/markup-compatibility/2006">
      <mc:Choice Requires="x14">
        <control shapeId="2056" r:id="rId18" name="PRODUTOS">
          <controlPr defaultSize="0" autoLine="0" r:id="rId19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4</xdr:col>
                <xdr:colOff>400050</xdr:colOff>
                <xdr:row>14</xdr:row>
                <xdr:rowOff>171450</xdr:rowOff>
              </to>
            </anchor>
          </controlPr>
        </control>
      </mc:Choice>
      <mc:Fallback>
        <control shapeId="2056" r:id="rId18" name="PRODUTOS"/>
      </mc:Fallback>
    </mc:AlternateContent>
    <mc:AlternateContent xmlns:mc="http://schemas.openxmlformats.org/markup-compatibility/2006">
      <mc:Choice Requires="x14">
        <control shapeId="2058" r:id="rId20" name="lbChecarEstoque">
          <controlPr defaultSize="0" autoLine="0" r:id="rId21">
            <anchor moveWithCells="1">
              <from>
                <xdr:col>4</xdr:col>
                <xdr:colOff>514350</xdr:colOff>
                <xdr:row>16</xdr:row>
                <xdr:rowOff>28575</xdr:rowOff>
              </from>
              <to>
                <xdr:col>8</xdr:col>
                <xdr:colOff>323850</xdr:colOff>
                <xdr:row>17</xdr:row>
                <xdr:rowOff>19050</xdr:rowOff>
              </to>
            </anchor>
          </controlPr>
        </control>
      </mc:Choice>
      <mc:Fallback>
        <control shapeId="2058" r:id="rId20" name="lbChecarEstoque"/>
      </mc:Fallback>
    </mc:AlternateContent>
    <mc:AlternateContent xmlns:mc="http://schemas.openxmlformats.org/markup-compatibility/2006">
      <mc:Choice Requires="x14">
        <control shapeId="2064" r:id="rId22" name="lbEntrada">
          <controlPr defaultSize="0" autoLine="0" r:id="rId23">
            <anchor moveWithCells="1">
              <from>
                <xdr:col>4</xdr:col>
                <xdr:colOff>504825</xdr:colOff>
                <xdr:row>17</xdr:row>
                <xdr:rowOff>28575</xdr:rowOff>
              </from>
              <to>
                <xdr:col>8</xdr:col>
                <xdr:colOff>314325</xdr:colOff>
                <xdr:row>19</xdr:row>
                <xdr:rowOff>9525</xdr:rowOff>
              </to>
            </anchor>
          </controlPr>
        </control>
      </mc:Choice>
      <mc:Fallback>
        <control shapeId="2064" r:id="rId22" name="lbEntrada"/>
      </mc:Fallback>
    </mc:AlternateContent>
    <mc:AlternateContent xmlns:mc="http://schemas.openxmlformats.org/markup-compatibility/2006">
      <mc:Choice Requires="x14">
        <control shapeId="2065" r:id="rId24" name="FLUXO_CAIXA">
          <controlPr defaultSize="0" autoLine="0" r:id="rId25">
            <anchor moveWithCells="1">
              <from>
                <xdr:col>0</xdr:col>
                <xdr:colOff>9525</xdr:colOff>
                <xdr:row>17</xdr:row>
                <xdr:rowOff>28575</xdr:rowOff>
              </from>
              <to>
                <xdr:col>4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2065" r:id="rId24" name="FLUXO_CAIXA"/>
      </mc:Fallback>
    </mc:AlternateContent>
    <mc:AlternateContent xmlns:mc="http://schemas.openxmlformats.org/markup-compatibility/2006">
      <mc:Choice Requires="x14">
        <control shapeId="2066" r:id="rId26" name="lbSaida">
          <controlPr defaultSize="0" autoLine="0" r:id="rId27">
            <anchor moveWithCells="1">
              <from>
                <xdr:col>8</xdr:col>
                <xdr:colOff>342900</xdr:colOff>
                <xdr:row>17</xdr:row>
                <xdr:rowOff>28575</xdr:rowOff>
              </from>
              <to>
                <xdr:col>12</xdr:col>
                <xdr:colOff>123825</xdr:colOff>
                <xdr:row>19</xdr:row>
                <xdr:rowOff>9525</xdr:rowOff>
              </to>
            </anchor>
          </controlPr>
        </control>
      </mc:Choice>
      <mc:Fallback>
        <control shapeId="2066" r:id="rId26" name="lbSaida"/>
      </mc:Fallback>
    </mc:AlternateContent>
    <mc:AlternateContent xmlns:mc="http://schemas.openxmlformats.org/markup-compatibility/2006">
      <mc:Choice Requires="x14">
        <control shapeId="2067" r:id="rId28" name="lbCarteira">
          <controlPr defaultSize="0" autoLine="0" r:id="rId29">
            <anchor moveWithCells="1">
              <from>
                <xdr:col>4</xdr:col>
                <xdr:colOff>504825</xdr:colOff>
                <xdr:row>19</xdr:row>
                <xdr:rowOff>28575</xdr:rowOff>
              </from>
              <to>
                <xdr:col>8</xdr:col>
                <xdr:colOff>314325</xdr:colOff>
                <xdr:row>20</xdr:row>
                <xdr:rowOff>85725</xdr:rowOff>
              </to>
            </anchor>
          </controlPr>
        </control>
      </mc:Choice>
      <mc:Fallback>
        <control shapeId="2067" r:id="rId28" name="lbCarteira"/>
      </mc:Fallback>
    </mc:AlternateContent>
    <mc:AlternateContent xmlns:mc="http://schemas.openxmlformats.org/markup-compatibility/2006">
      <mc:Choice Requires="x14">
        <control shapeId="2068" r:id="rId30" name="lbDashboard">
          <controlPr defaultSize="0" autoLine="0" r:id="rId31">
            <anchor moveWithCells="1">
              <from>
                <xdr:col>4</xdr:col>
                <xdr:colOff>504825</xdr:colOff>
                <xdr:row>20</xdr:row>
                <xdr:rowOff>104775</xdr:rowOff>
              </from>
              <to>
                <xdr:col>8</xdr:col>
                <xdr:colOff>314325</xdr:colOff>
                <xdr:row>21</xdr:row>
                <xdr:rowOff>161925</xdr:rowOff>
              </to>
            </anchor>
          </controlPr>
        </control>
      </mc:Choice>
      <mc:Fallback>
        <control shapeId="2068" r:id="rId30" name="lbDashboa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8BE67-7A58-4A88-9CD5-78C98B47996A}">
  <sheetPr codeName="Planilha1">
    <tabColor theme="3" tint="-0.499984740745262"/>
  </sheetPr>
  <dimension ref="A1:J2"/>
  <sheetViews>
    <sheetView showGridLines="0" workbookViewId="0"/>
  </sheetViews>
  <sheetFormatPr defaultRowHeight="15" x14ac:dyDescent="0.25"/>
  <cols>
    <col min="1" max="1" width="34.85546875" style="14" customWidth="1"/>
    <col min="2" max="2" width="30.7109375" style="14" customWidth="1"/>
    <col min="3" max="3" width="6.85546875" style="14" customWidth="1"/>
    <col min="4" max="4" width="17" style="14" customWidth="1"/>
    <col min="5" max="5" width="15.7109375" style="14" customWidth="1"/>
    <col min="6" max="7" width="21.140625" style="14" bestFit="1" customWidth="1"/>
    <col min="8" max="8" width="15.5703125" bestFit="1" customWidth="1"/>
  </cols>
  <sheetData>
    <row r="1" spans="1:10" x14ac:dyDescent="0.25">
      <c r="A1" s="42" t="s">
        <v>0</v>
      </c>
      <c r="B1" s="42" t="s">
        <v>3</v>
      </c>
      <c r="C1" s="42" t="s">
        <v>4</v>
      </c>
      <c r="D1" s="42" t="s">
        <v>1</v>
      </c>
      <c r="E1" s="42" t="s">
        <v>2</v>
      </c>
      <c r="F1" s="42" t="s">
        <v>24</v>
      </c>
      <c r="G1" s="42" t="s">
        <v>23</v>
      </c>
      <c r="H1" s="43" t="s">
        <v>62</v>
      </c>
      <c r="J1" s="29"/>
    </row>
    <row r="2" spans="1:10" x14ac:dyDescent="0.25">
      <c r="A2" s="41"/>
      <c r="B2" s="24"/>
      <c r="C2" s="34"/>
      <c r="D2" s="35"/>
      <c r="E2" s="35"/>
      <c r="F2" s="35"/>
      <c r="G2" s="36"/>
      <c r="H2" s="37"/>
    </row>
  </sheetData>
  <sheetProtection algorithmName="SHA-512" hashValue="r3TNqgVGMDv311IbLH12foRblEWAnPLnsgcdg7FvEZp93Jeodf9Vb02aO8JmVYiZVm88gk0WMITcVT6b5ypVxw==" saltValue="Z/g4BxEgreh5I6G/bZVnDQ==" spinCount="100000" sheet="1" objects="1" scenarios="1" selectLockedCells="1"/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btExcluir">
          <controlPr defaultSize="0" autoLine="0" r:id="rId5">
            <anchor>
              <from>
                <xdr:col>9</xdr:col>
                <xdr:colOff>76200</xdr:colOff>
                <xdr:row>31</xdr:row>
                <xdr:rowOff>0</xdr:rowOff>
              </from>
              <to>
                <xdr:col>10</xdr:col>
                <xdr:colOff>438150</xdr:colOff>
                <xdr:row>33</xdr:row>
                <xdr:rowOff>19050</xdr:rowOff>
              </to>
            </anchor>
          </controlPr>
        </control>
      </mc:Choice>
      <mc:Fallback>
        <control shapeId="8193" r:id="rId4" name="btExcluir"/>
      </mc:Fallback>
    </mc:AlternateContent>
    <mc:AlternateContent xmlns:mc="http://schemas.openxmlformats.org/markup-compatibility/2006">
      <mc:Choice Requires="x14">
        <control shapeId="8194" r:id="rId6" name="btMenu">
          <controlPr defaultSize="0" autoLine="0" r:id="rId7">
            <anchor>
              <from>
                <xdr:col>7</xdr:col>
                <xdr:colOff>714375</xdr:colOff>
                <xdr:row>31</xdr:row>
                <xdr:rowOff>0</xdr:rowOff>
              </from>
              <to>
                <xdr:col>9</xdr:col>
                <xdr:colOff>38100</xdr:colOff>
                <xdr:row>33</xdr:row>
                <xdr:rowOff>19050</xdr:rowOff>
              </to>
            </anchor>
          </controlPr>
        </control>
      </mc:Choice>
      <mc:Fallback>
        <control shapeId="8194" r:id="rId6" name="btMenu"/>
      </mc:Fallback>
    </mc:AlternateContent>
  </controls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AD5F4-D097-41B5-A20C-9F76E5E2B2F0}">
  <sheetPr codeName="Planilha7">
    <tabColor theme="3" tint="-0.249977111117893"/>
  </sheetPr>
  <dimension ref="A1:G30"/>
  <sheetViews>
    <sheetView showGridLines="0" workbookViewId="0"/>
  </sheetViews>
  <sheetFormatPr defaultRowHeight="15" x14ac:dyDescent="0.25"/>
  <cols>
    <col min="1" max="1" width="18.85546875" customWidth="1"/>
    <col min="2" max="2" width="38.42578125" customWidth="1"/>
    <col min="3" max="3" width="7.140625" customWidth="1"/>
    <col min="4" max="4" width="15.140625" customWidth="1"/>
    <col min="5" max="5" width="18.5703125" customWidth="1"/>
    <col min="6" max="6" width="29.7109375" bestFit="1" customWidth="1"/>
    <col min="7" max="7" width="21.140625" bestFit="1" customWidth="1"/>
  </cols>
  <sheetData>
    <row r="1" spans="1:7" x14ac:dyDescent="0.25">
      <c r="A1" t="s">
        <v>0</v>
      </c>
      <c r="B1" t="s">
        <v>3</v>
      </c>
      <c r="C1" t="s">
        <v>22</v>
      </c>
      <c r="D1" t="s">
        <v>19</v>
      </c>
      <c r="E1" t="s">
        <v>20</v>
      </c>
      <c r="F1" t="s">
        <v>21</v>
      </c>
      <c r="G1" t="s">
        <v>23</v>
      </c>
    </row>
    <row r="2" spans="1:7" x14ac:dyDescent="0.25">
      <c r="A2" s="44"/>
      <c r="G2" s="7"/>
    </row>
    <row r="7" spans="1:7" x14ac:dyDescent="0.25">
      <c r="G7" s="2"/>
    </row>
    <row r="30" spans="2:2" x14ac:dyDescent="0.25">
      <c r="B30" t="s">
        <v>34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9217" r:id="rId3" name="btExcluir">
          <controlPr defaultSize="0" autoLine="0" r:id="rId4">
            <anchor>
              <from>
                <xdr:col>9</xdr:col>
                <xdr:colOff>390525</xdr:colOff>
                <xdr:row>31</xdr:row>
                <xdr:rowOff>0</xdr:rowOff>
              </from>
              <to>
                <xdr:col>11</xdr:col>
                <xdr:colOff>142875</xdr:colOff>
                <xdr:row>33</xdr:row>
                <xdr:rowOff>19050</xdr:rowOff>
              </to>
            </anchor>
          </controlPr>
        </control>
      </mc:Choice>
      <mc:Fallback>
        <control shapeId="9217" r:id="rId3" name="btExcluir"/>
      </mc:Fallback>
    </mc:AlternateContent>
    <mc:AlternateContent xmlns:mc="http://schemas.openxmlformats.org/markup-compatibility/2006">
      <mc:Choice Requires="x14">
        <control shapeId="9218" r:id="rId5" name="btMenu">
          <controlPr defaultSize="0" autoLine="0" r:id="rId6">
            <anchor>
              <from>
                <xdr:col>8</xdr:col>
                <xdr:colOff>0</xdr:colOff>
                <xdr:row>31</xdr:row>
                <xdr:rowOff>0</xdr:rowOff>
              </from>
              <to>
                <xdr:col>9</xdr:col>
                <xdr:colOff>361950</xdr:colOff>
                <xdr:row>33</xdr:row>
                <xdr:rowOff>19050</xdr:rowOff>
              </to>
            </anchor>
          </controlPr>
        </control>
      </mc:Choice>
      <mc:Fallback>
        <control shapeId="9218" r:id="rId5" name="btMenu"/>
      </mc:Fallback>
    </mc:AlternateContent>
  </controls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09BAF-667F-41A9-9B3F-3E2C091A5B7A}">
  <sheetPr codeName="Planilha3">
    <tabColor theme="2" tint="-0.499984740745262"/>
  </sheetPr>
  <dimension ref="A1:AB4"/>
  <sheetViews>
    <sheetView showGridLines="0" workbookViewId="0">
      <selection activeCell="B4" sqref="B4"/>
    </sheetView>
  </sheetViews>
  <sheetFormatPr defaultColWidth="0" defaultRowHeight="15" x14ac:dyDescent="0.25"/>
  <cols>
    <col min="1" max="1" width="10" style="14" bestFit="1" customWidth="1"/>
    <col min="2" max="2" width="29.140625" style="14" bestFit="1" customWidth="1"/>
    <col min="3" max="3" width="15.42578125" style="14" bestFit="1" customWidth="1"/>
    <col min="4" max="4" width="20" style="14" bestFit="1" customWidth="1"/>
    <col min="5" max="5" width="18.5703125" bestFit="1" customWidth="1"/>
    <col min="6" max="6" width="18" bestFit="1" customWidth="1"/>
    <col min="7" max="7" width="26.5703125" bestFit="1" customWidth="1"/>
    <col min="8" max="8" width="18.42578125" style="14" bestFit="1" customWidth="1"/>
    <col min="9" max="9" width="18.7109375" style="14" bestFit="1" customWidth="1"/>
    <col min="10" max="10" width="23.7109375" style="14" bestFit="1" customWidth="1"/>
    <col min="11" max="11" width="19.28515625" bestFit="1" customWidth="1"/>
    <col min="12" max="12" width="29.42578125" bestFit="1" customWidth="1"/>
    <col min="13" max="16" width="7.28515625" style="14" customWidth="1"/>
    <col min="17" max="17" width="8.42578125" style="14" bestFit="1" customWidth="1"/>
    <col min="18" max="18" width="7.5703125" style="14" bestFit="1" customWidth="1"/>
    <col min="19" max="26" width="9.140625" style="14" customWidth="1"/>
    <col min="27" max="27" width="77.42578125" style="14" bestFit="1" customWidth="1"/>
    <col min="28" max="28" width="25.42578125" style="14" customWidth="1"/>
    <col min="29" max="16384" width="9.140625" hidden="1"/>
  </cols>
  <sheetData>
    <row r="1" spans="1:28" x14ac:dyDescent="0.25">
      <c r="A1" s="14" t="s">
        <v>8</v>
      </c>
      <c r="B1" s="14" t="s">
        <v>30</v>
      </c>
      <c r="C1" s="14" t="s">
        <v>17</v>
      </c>
      <c r="D1" s="14" t="s">
        <v>14</v>
      </c>
      <c r="E1" t="s">
        <v>13</v>
      </c>
      <c r="F1" t="s">
        <v>15</v>
      </c>
      <c r="G1" t="s">
        <v>16</v>
      </c>
      <c r="H1" s="14" t="s">
        <v>29</v>
      </c>
      <c r="I1" s="14" t="s">
        <v>28</v>
      </c>
      <c r="J1" s="14" t="s">
        <v>31</v>
      </c>
      <c r="K1" t="s">
        <v>32</v>
      </c>
      <c r="L1" t="s">
        <v>25</v>
      </c>
      <c r="M1" s="19" t="s">
        <v>35</v>
      </c>
      <c r="N1" s="19" t="s">
        <v>36</v>
      </c>
      <c r="O1" s="19" t="s">
        <v>37</v>
      </c>
      <c r="P1" s="19" t="s">
        <v>38</v>
      </c>
      <c r="Q1" s="19" t="s">
        <v>39</v>
      </c>
      <c r="R1" s="20" t="s">
        <v>40</v>
      </c>
      <c r="S1" s="21" t="s">
        <v>41</v>
      </c>
      <c r="T1" s="21" t="s">
        <v>42</v>
      </c>
      <c r="U1" s="21" t="s">
        <v>43</v>
      </c>
      <c r="V1" s="21" t="s">
        <v>44</v>
      </c>
      <c r="W1" s="21" t="s">
        <v>45</v>
      </c>
      <c r="X1" s="21" t="s">
        <v>46</v>
      </c>
      <c r="AA1" s="14" t="s">
        <v>33</v>
      </c>
      <c r="AB1" s="14" t="s">
        <v>18</v>
      </c>
    </row>
    <row r="2" spans="1:28" x14ac:dyDescent="0.25">
      <c r="D2" s="17"/>
      <c r="E2" s="8"/>
      <c r="F2" s="31"/>
      <c r="H2" s="16"/>
      <c r="I2" s="16"/>
      <c r="J2" s="16"/>
      <c r="K2" s="27" t="s">
        <v>61</v>
      </c>
      <c r="L2" s="28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AA2" s="24"/>
      <c r="AB2" s="24"/>
    </row>
    <row r="3" spans="1:28" x14ac:dyDescent="0.25">
      <c r="D3" s="17"/>
      <c r="E3" s="8"/>
      <c r="F3" s="18"/>
      <c r="H3" s="16"/>
      <c r="I3" s="16"/>
      <c r="J3" s="16"/>
      <c r="K3" s="27" t="s">
        <v>63</v>
      </c>
      <c r="L3" s="28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AA3" s="23"/>
      <c r="AB3" s="23"/>
    </row>
    <row r="4" spans="1:28" x14ac:dyDescent="0.25">
      <c r="D4" s="17"/>
      <c r="E4" s="8"/>
      <c r="F4" s="18"/>
      <c r="H4" s="16"/>
      <c r="I4" s="16"/>
      <c r="J4" s="16"/>
      <c r="L4" s="28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AA4" s="23"/>
      <c r="AB4" s="23"/>
    </row>
  </sheetData>
  <sheetProtection algorithmName="SHA-512" hashValue="/zyGOeHnNlOBiBIeO4NO3+eHFNOKQWXQhd1HmOM7ML8FURn31IZbMloi0+uxT+JPuEysc8FWsToS8ph8mNRa/g==" saltValue="xoEdg+5s1NrT3nIfNMT0ag==" spinCount="100000" sheet="1" objects="1" scenarios="1" selectLockedCells="1"/>
  <phoneticPr fontId="2" type="noConversion"/>
  <conditionalFormatting sqref="G2">
    <cfRule type="containsText" dxfId="58" priority="1" operator="containsText" text="ESTOQUE ABAIXO DO LIMITE">
      <formula>NOT(ISERROR(SEARCH("ESTOQUE ABAIXO DO LIMITE",G2)))</formula>
    </cfRule>
    <cfRule type="containsText" dxfId="57" priority="2" operator="containsText" text="NECESSITA DE COMPRA">
      <formula>NOT(ISERROR(SEARCH("NECESSITA DE COMPRA",G2)))</formula>
    </cfRule>
    <cfRule type="containsText" dxfId="56" priority="3" operator="containsText" text="ESTOQUE SAUDÁVEL">
      <formula>NOT(ISERROR(SEARCH("ESTOQUE SAUDÁVEL",G2)))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42" r:id="rId4" name="btExcluir">
          <controlPr defaultSize="0" autoLine="0" r:id="rId5">
            <anchor>
              <from>
                <xdr:col>8</xdr:col>
                <xdr:colOff>1133475</xdr:colOff>
                <xdr:row>31</xdr:row>
                <xdr:rowOff>0</xdr:rowOff>
              </from>
              <to>
                <xdr:col>9</xdr:col>
                <xdr:colOff>857250</xdr:colOff>
                <xdr:row>33</xdr:row>
                <xdr:rowOff>19050</xdr:rowOff>
              </to>
            </anchor>
          </controlPr>
        </control>
      </mc:Choice>
      <mc:Fallback>
        <control shapeId="10242" r:id="rId4" name="btExcluir"/>
      </mc:Fallback>
    </mc:AlternateContent>
    <mc:AlternateContent xmlns:mc="http://schemas.openxmlformats.org/markup-compatibility/2006">
      <mc:Choice Requires="x14">
        <control shapeId="10243" r:id="rId6" name="btMenu">
          <controlPr defaultSize="0" autoLine="0" r:id="rId7">
            <anchor>
              <from>
                <xdr:col>8</xdr:col>
                <xdr:colOff>133350</xdr:colOff>
                <xdr:row>31</xdr:row>
                <xdr:rowOff>0</xdr:rowOff>
              </from>
              <to>
                <xdr:col>8</xdr:col>
                <xdr:colOff>1104900</xdr:colOff>
                <xdr:row>33</xdr:row>
                <xdr:rowOff>19050</xdr:rowOff>
              </to>
            </anchor>
          </controlPr>
        </control>
      </mc:Choice>
      <mc:Fallback>
        <control shapeId="10243" r:id="rId6" name="btMenu"/>
      </mc:Fallback>
    </mc:AlternateContent>
  </controls>
  <tableParts count="4"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7568D-A2FF-4FCB-8446-5BB235DA2E98}">
  <sheetPr codeName="Planilha5">
    <tabColor theme="2" tint="-0.249977111117893"/>
  </sheetPr>
  <dimension ref="A1:J32"/>
  <sheetViews>
    <sheetView showGridLines="0" workbookViewId="0">
      <selection activeCell="A2" sqref="A2"/>
    </sheetView>
  </sheetViews>
  <sheetFormatPr defaultRowHeight="15" x14ac:dyDescent="0.25"/>
  <cols>
    <col min="1" max="1" width="10.7109375" bestFit="1" customWidth="1"/>
    <col min="2" max="2" width="10" bestFit="1" customWidth="1"/>
    <col min="3" max="3" width="42.140625" customWidth="1"/>
    <col min="4" max="4" width="12.85546875" bestFit="1" customWidth="1"/>
    <col min="5" max="5" width="7.7109375" bestFit="1" customWidth="1"/>
    <col min="6" max="6" width="18.42578125" bestFit="1" customWidth="1"/>
    <col min="7" max="7" width="15.42578125" bestFit="1" customWidth="1"/>
    <col min="8" max="8" width="18.85546875" bestFit="1" customWidth="1"/>
    <col min="9" max="9" width="14.28515625" bestFit="1" customWidth="1"/>
    <col min="10" max="10" width="10.7109375" bestFit="1" customWidth="1"/>
  </cols>
  <sheetData>
    <row r="1" spans="1:10" x14ac:dyDescent="0.25">
      <c r="A1" t="s">
        <v>5</v>
      </c>
      <c r="B1" t="s">
        <v>8</v>
      </c>
      <c r="C1" t="s">
        <v>11</v>
      </c>
      <c r="D1" t="s">
        <v>47</v>
      </c>
      <c r="E1" t="s">
        <v>9</v>
      </c>
      <c r="F1" t="s">
        <v>26</v>
      </c>
      <c r="G1" t="s">
        <v>27</v>
      </c>
      <c r="H1" s="38" t="s">
        <v>51</v>
      </c>
      <c r="I1" s="38" t="s">
        <v>51</v>
      </c>
      <c r="J1" s="32">
        <f ca="1">DATE(YEAR(TODAY()),MONTH(TODAY()),1)</f>
        <v>45200</v>
      </c>
    </row>
    <row r="2" spans="1:10" x14ac:dyDescent="0.25">
      <c r="A2" s="2"/>
      <c r="D2" s="10"/>
      <c r="E2" s="10"/>
      <c r="F2" s="9"/>
      <c r="G2" s="9"/>
      <c r="H2" s="39">
        <f>SUM(tabCOMPRAS[[#Data],[VALOR TOTAL]])</f>
        <v>0</v>
      </c>
      <c r="I2" s="40">
        <f ca="1">SUMIFS(tabCOMPRAS[[#Data],[VALOR TOTAL]],tabCOMPRAS[[#Data],[DATA]],"&gt;="&amp;J1,tabCOMPRAS[DATA],"&lt;="&amp;EOMONTH(J1,0))</f>
        <v>0</v>
      </c>
      <c r="J2" s="2"/>
    </row>
    <row r="3" spans="1:10" x14ac:dyDescent="0.25">
      <c r="A3" s="2"/>
      <c r="D3" s="10"/>
      <c r="E3" s="10"/>
      <c r="F3" s="9"/>
      <c r="G3" s="9"/>
      <c r="H3" s="9"/>
    </row>
    <row r="4" spans="1:10" x14ac:dyDescent="0.25">
      <c r="A4" s="2"/>
      <c r="D4" s="10"/>
      <c r="E4" s="10"/>
      <c r="F4" s="9"/>
      <c r="G4" s="9"/>
    </row>
    <row r="5" spans="1:10" x14ac:dyDescent="0.25">
      <c r="A5" s="2"/>
      <c r="D5" s="10"/>
      <c r="E5" s="10"/>
      <c r="F5" s="9"/>
      <c r="G5" s="9"/>
    </row>
    <row r="6" spans="1:10" x14ac:dyDescent="0.25">
      <c r="A6" s="2"/>
      <c r="D6" s="10"/>
      <c r="E6" s="10"/>
      <c r="F6" s="9"/>
      <c r="G6" s="9"/>
    </row>
    <row r="7" spans="1:10" x14ac:dyDescent="0.25">
      <c r="A7" s="2"/>
      <c r="F7" s="9"/>
      <c r="G7" s="9"/>
    </row>
    <row r="8" spans="1:10" x14ac:dyDescent="0.25">
      <c r="A8" s="2"/>
      <c r="F8" s="9"/>
      <c r="G8" s="9"/>
    </row>
    <row r="9" spans="1:10" x14ac:dyDescent="0.25">
      <c r="A9" s="2"/>
      <c r="F9" s="9"/>
      <c r="G9" s="9"/>
    </row>
    <row r="10" spans="1:10" x14ac:dyDescent="0.25">
      <c r="A10" s="2"/>
      <c r="F10" s="9"/>
      <c r="G10" s="9"/>
    </row>
    <row r="11" spans="1:10" x14ac:dyDescent="0.25">
      <c r="A11" s="2"/>
      <c r="F11" s="9"/>
      <c r="G11" s="9"/>
    </row>
    <row r="12" spans="1:10" x14ac:dyDescent="0.25">
      <c r="A12" s="2"/>
      <c r="F12" s="9"/>
      <c r="G12" s="9"/>
    </row>
    <row r="13" spans="1:10" x14ac:dyDescent="0.25">
      <c r="A13" s="2"/>
      <c r="F13" s="9"/>
      <c r="G13" s="9"/>
    </row>
    <row r="14" spans="1:10" x14ac:dyDescent="0.25">
      <c r="A14" s="2"/>
      <c r="F14" s="9"/>
      <c r="G14" s="9"/>
    </row>
    <row r="15" spans="1:10" x14ac:dyDescent="0.25">
      <c r="A15" s="2"/>
      <c r="F15" s="9"/>
      <c r="G15" s="9"/>
    </row>
    <row r="16" spans="1:10" x14ac:dyDescent="0.25">
      <c r="A16" s="2"/>
      <c r="F16" s="9"/>
      <c r="G16" s="9"/>
    </row>
    <row r="17" spans="1:7" x14ac:dyDescent="0.25">
      <c r="A17" s="2"/>
      <c r="F17" s="9"/>
      <c r="G17" s="9"/>
    </row>
    <row r="18" spans="1:7" x14ac:dyDescent="0.25">
      <c r="A18" s="2"/>
      <c r="F18" s="9"/>
      <c r="G18" s="9"/>
    </row>
    <row r="19" spans="1:7" x14ac:dyDescent="0.25">
      <c r="A19" s="2"/>
      <c r="F19" s="9"/>
      <c r="G19" s="9"/>
    </row>
    <row r="20" spans="1:7" x14ac:dyDescent="0.25">
      <c r="A20" s="2"/>
      <c r="F20" s="9"/>
      <c r="G20" s="9"/>
    </row>
    <row r="21" spans="1:7" x14ac:dyDescent="0.25">
      <c r="A21" s="2"/>
      <c r="F21" s="9"/>
      <c r="G21" s="9"/>
    </row>
    <row r="22" spans="1:7" x14ac:dyDescent="0.25">
      <c r="A22" s="2"/>
      <c r="F22" s="9"/>
      <c r="G22" s="9"/>
    </row>
    <row r="23" spans="1:7" x14ac:dyDescent="0.25">
      <c r="A23" s="2"/>
      <c r="F23" s="9"/>
      <c r="G23" s="9"/>
    </row>
    <row r="24" spans="1:7" x14ac:dyDescent="0.25">
      <c r="A24" s="2"/>
      <c r="F24" s="9"/>
      <c r="G24" s="9"/>
    </row>
    <row r="25" spans="1:7" x14ac:dyDescent="0.25">
      <c r="A25" s="2"/>
      <c r="F25" s="9"/>
      <c r="G25" s="9"/>
    </row>
    <row r="26" spans="1:7" x14ac:dyDescent="0.25">
      <c r="A26" s="2"/>
      <c r="F26" s="9"/>
      <c r="G26" s="9"/>
    </row>
    <row r="27" spans="1:7" x14ac:dyDescent="0.25">
      <c r="A27" s="2"/>
      <c r="F27" s="9"/>
      <c r="G27" s="9"/>
    </row>
    <row r="28" spans="1:7" x14ac:dyDescent="0.25">
      <c r="A28" s="2"/>
      <c r="F28" s="9"/>
      <c r="G28" s="9"/>
    </row>
    <row r="29" spans="1:7" x14ac:dyDescent="0.25">
      <c r="A29" s="2"/>
      <c r="F29" s="9"/>
      <c r="G29" s="9"/>
    </row>
    <row r="30" spans="1:7" x14ac:dyDescent="0.25">
      <c r="A30" s="2"/>
      <c r="F30" s="9"/>
      <c r="G30" s="9"/>
    </row>
    <row r="31" spans="1:7" x14ac:dyDescent="0.25">
      <c r="A31" s="2"/>
      <c r="F31" s="9"/>
      <c r="G31" s="9"/>
    </row>
    <row r="32" spans="1:7" x14ac:dyDescent="0.25">
      <c r="A32" s="2"/>
      <c r="F32" s="9"/>
      <c r="G32" s="9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0" r:id="rId4" name="btMenu">
          <controlPr defaultSize="0" autoLine="0" r:id="rId5">
            <anchor>
              <from>
                <xdr:col>11</xdr:col>
                <xdr:colOff>190500</xdr:colOff>
                <xdr:row>31</xdr:row>
                <xdr:rowOff>9525</xdr:rowOff>
              </from>
              <to>
                <xdr:col>12</xdr:col>
                <xdr:colOff>552450</xdr:colOff>
                <xdr:row>33</xdr:row>
                <xdr:rowOff>28575</xdr:rowOff>
              </to>
            </anchor>
          </controlPr>
        </control>
      </mc:Choice>
      <mc:Fallback>
        <control shapeId="12290" r:id="rId4" name="btMenu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9D241-4F9F-48A1-8FFD-053291C3BACF}">
  <sheetPr codeName="Planilha4">
    <tabColor theme="2" tint="-9.9978637043366805E-2"/>
  </sheetPr>
  <dimension ref="A1:L6"/>
  <sheetViews>
    <sheetView showGridLines="0" workbookViewId="0">
      <selection activeCell="A2" sqref="A2"/>
    </sheetView>
  </sheetViews>
  <sheetFormatPr defaultRowHeight="15" x14ac:dyDescent="0.25"/>
  <cols>
    <col min="1" max="1" width="10.7109375" bestFit="1" customWidth="1"/>
    <col min="2" max="2" width="10.7109375" customWidth="1"/>
    <col min="3" max="3" width="37.7109375" customWidth="1"/>
    <col min="4" max="4" width="10.28515625" customWidth="1"/>
    <col min="5" max="5" width="8.5703125" customWidth="1"/>
    <col min="6" max="6" width="14" customWidth="1"/>
    <col min="7" max="7" width="24.85546875" bestFit="1" customWidth="1"/>
    <col min="8" max="8" width="40.85546875" customWidth="1"/>
    <col min="9" max="9" width="19" bestFit="1" customWidth="1"/>
    <col min="10" max="11" width="10.5703125" bestFit="1" customWidth="1"/>
    <col min="12" max="12" width="10.7109375" bestFit="1" customWidth="1"/>
  </cols>
  <sheetData>
    <row r="1" spans="1:12" x14ac:dyDescent="0.25">
      <c r="A1" t="s">
        <v>5</v>
      </c>
      <c r="B1" t="s">
        <v>8</v>
      </c>
      <c r="C1" t="s">
        <v>12</v>
      </c>
      <c r="D1" t="s">
        <v>52</v>
      </c>
      <c r="E1" t="s">
        <v>9</v>
      </c>
      <c r="F1" t="s">
        <v>7</v>
      </c>
      <c r="G1" t="s">
        <v>56</v>
      </c>
      <c r="H1" t="s">
        <v>6</v>
      </c>
      <c r="I1" t="s">
        <v>10</v>
      </c>
      <c r="J1" s="38" t="s">
        <v>51</v>
      </c>
      <c r="K1" s="38" t="s">
        <v>51</v>
      </c>
      <c r="L1" s="2">
        <f ca="1">DATE(YEAR(TODAY()),MONTH(TODAY()),1)</f>
        <v>45200</v>
      </c>
    </row>
    <row r="2" spans="1:12" x14ac:dyDescent="0.25">
      <c r="A2" s="46"/>
      <c r="D2" s="8"/>
      <c r="E2" s="8"/>
      <c r="F2" s="3"/>
      <c r="G2" s="9"/>
      <c r="H2" s="4"/>
      <c r="J2" s="39">
        <f>SUM(tabVENDAS[[#Data],[VALOR]])</f>
        <v>0</v>
      </c>
      <c r="K2" s="40">
        <f ca="1">SUMIFS(tabVENDAS[[#Data],[VALOR]],tabVENDAS[[#Data],[DATA]],"&gt;="&amp;L1,tabVENDAS[DATA],"&lt;="&amp;EOMONTH(L1,0))</f>
        <v>0</v>
      </c>
      <c r="L2" s="2"/>
    </row>
    <row r="3" spans="1:12" x14ac:dyDescent="0.25">
      <c r="A3" s="2"/>
      <c r="B3" s="2"/>
      <c r="D3" s="8"/>
      <c r="E3" s="8"/>
      <c r="F3" s="3"/>
      <c r="G3" s="9"/>
      <c r="H3" s="45"/>
      <c r="J3" s="3"/>
    </row>
    <row r="4" spans="1:12" x14ac:dyDescent="0.25">
      <c r="A4" s="2"/>
      <c r="B4" s="2"/>
      <c r="D4" s="8"/>
      <c r="E4" s="8"/>
      <c r="F4" s="3"/>
      <c r="G4" s="9"/>
      <c r="H4" s="45"/>
      <c r="J4" s="3"/>
    </row>
    <row r="5" spans="1:12" x14ac:dyDescent="0.25">
      <c r="A5" s="2"/>
      <c r="B5" s="2"/>
      <c r="D5" s="8"/>
      <c r="E5" s="8"/>
      <c r="F5" s="3"/>
      <c r="G5" s="9"/>
      <c r="H5" s="45"/>
    </row>
    <row r="6" spans="1:12" x14ac:dyDescent="0.25">
      <c r="A6" s="2"/>
      <c r="B6" s="2"/>
      <c r="D6" s="8"/>
      <c r="E6" s="8"/>
      <c r="F6" s="3"/>
      <c r="G6" s="9"/>
      <c r="H6" s="45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1266" r:id="rId3" name="btMenu">
          <controlPr defaultSize="0" autoLine="0" r:id="rId4">
            <anchor>
              <from>
                <xdr:col>8</xdr:col>
                <xdr:colOff>1019175</xdr:colOff>
                <xdr:row>30</xdr:row>
                <xdr:rowOff>161925</xdr:rowOff>
              </from>
              <to>
                <xdr:col>10</xdr:col>
                <xdr:colOff>19050</xdr:colOff>
                <xdr:row>32</xdr:row>
                <xdr:rowOff>180975</xdr:rowOff>
              </to>
            </anchor>
          </controlPr>
        </control>
      </mc:Choice>
      <mc:Fallback>
        <control shapeId="11266" r:id="rId3" name="btMenu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FC291-204B-44B8-B9AA-8C4A09572E8F}">
  <sheetPr codeName="Planilha6">
    <tabColor theme="2"/>
  </sheetPr>
  <dimension ref="A1:K8"/>
  <sheetViews>
    <sheetView showGridLines="0" showRowColHeaders="0" workbookViewId="0"/>
  </sheetViews>
  <sheetFormatPr defaultRowHeight="15" x14ac:dyDescent="0.25"/>
  <cols>
    <col min="1" max="1" width="11" style="14" customWidth="1"/>
    <col min="2" max="2" width="13.85546875" style="14" bestFit="1" customWidth="1"/>
    <col min="3" max="3" width="13.7109375" style="14" customWidth="1"/>
    <col min="4" max="4" width="38.85546875" style="14" customWidth="1"/>
    <col min="6" max="6" width="18.7109375" bestFit="1" customWidth="1"/>
    <col min="7" max="7" width="10.5703125" bestFit="1" customWidth="1"/>
    <col min="8" max="8" width="13.5703125" customWidth="1"/>
    <col min="9" max="9" width="25" customWidth="1"/>
    <col min="10" max="10" width="0.42578125" customWidth="1"/>
    <col min="11" max="11" width="24.85546875" customWidth="1"/>
  </cols>
  <sheetData>
    <row r="1" spans="1:11" x14ac:dyDescent="0.25">
      <c r="A1" s="14" t="s">
        <v>5</v>
      </c>
      <c r="B1" s="14" t="s">
        <v>48</v>
      </c>
      <c r="C1" s="14" t="s">
        <v>49</v>
      </c>
      <c r="D1" s="14" t="s">
        <v>11</v>
      </c>
    </row>
    <row r="2" spans="1:11" x14ac:dyDescent="0.25">
      <c r="A2" s="15"/>
      <c r="B2" s="16"/>
      <c r="C2" s="16"/>
      <c r="H2" s="3">
        <f>tabFLUXO_CAIXA[[#Totals],[ENTRADAS]]-tabFLUXO_CAIXA[[#Totals],[SAIDAS]]+SUM(tabVENDAS[[#Data],[VALOR]]) -SUM(tabCOMPRAS[[#Data],[VALOR TOTAL]])</f>
        <v>0</v>
      </c>
    </row>
    <row r="3" spans="1:11" x14ac:dyDescent="0.25">
      <c r="A3" s="15" t="s">
        <v>60</v>
      </c>
      <c r="B3" s="33">
        <f>SUBTOTAL(109,tabFLUXO_CAIXA[ENTRADAS])</f>
        <v>0</v>
      </c>
      <c r="C3" s="33">
        <f>SUBTOTAL(109,tabFLUXO_CAIXA[SAIDAS])</f>
        <v>0</v>
      </c>
    </row>
    <row r="4" spans="1:11" x14ac:dyDescent="0.25">
      <c r="A4" s="15"/>
      <c r="B4" s="16"/>
      <c r="C4" s="16"/>
      <c r="F4" s="1"/>
      <c r="G4" s="26"/>
      <c r="H4" t="s">
        <v>50</v>
      </c>
    </row>
    <row r="5" spans="1:11" x14ac:dyDescent="0.25">
      <c r="A5" s="15"/>
      <c r="B5" s="16"/>
      <c r="C5" s="16"/>
      <c r="I5" s="12" t="s">
        <v>58</v>
      </c>
      <c r="K5" s="13" t="s">
        <v>59</v>
      </c>
    </row>
    <row r="6" spans="1:11" x14ac:dyDescent="0.25">
      <c r="I6" s="47">
        <f>tabFLUXO_CAIXA[[#Totals],[SAIDAS]]+COMPRAS!H2</f>
        <v>0</v>
      </c>
      <c r="K6" s="49">
        <f>tabFLUXO_CAIXA[[#Totals],[ENTRADAS]]+VENDAS!J2</f>
        <v>0</v>
      </c>
    </row>
    <row r="7" spans="1:11" x14ac:dyDescent="0.25">
      <c r="I7" s="48"/>
      <c r="K7" s="50"/>
    </row>
    <row r="8" spans="1:11" x14ac:dyDescent="0.25">
      <c r="I8" s="48"/>
      <c r="K8" s="50"/>
    </row>
  </sheetData>
  <sheetProtection algorithmName="SHA-512" hashValue="2A2tgru4NMhpW6Y+jmWDT30k8ei6+8Kj5B7gR1hOJao1OxxXZI96ZZiSqRN39Wlv941okQ+LC4INMsCCKEpYaQ==" saltValue="ERGgPI6IHPlz62q9FCKCvQ==" spinCount="100000" sheet="1" objects="1" scenarios="1" selectLockedCells="1"/>
  <mergeCells count="2">
    <mergeCell ref="I6:I8"/>
    <mergeCell ref="K6:K8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71" r:id="rId4" name="lbVoltarMenu">
          <controlPr defaultSize="0" autoLine="0" r:id="rId5">
            <anchor>
              <from>
                <xdr:col>8</xdr:col>
                <xdr:colOff>1276350</xdr:colOff>
                <xdr:row>31</xdr:row>
                <xdr:rowOff>104775</xdr:rowOff>
              </from>
              <to>
                <xdr:col>11</xdr:col>
                <xdr:colOff>504825</xdr:colOff>
                <xdr:row>32</xdr:row>
                <xdr:rowOff>152400</xdr:rowOff>
              </to>
            </anchor>
          </controlPr>
        </control>
      </mc:Choice>
      <mc:Fallback>
        <control shapeId="6171" r:id="rId4" name="lbVoltarMenu"/>
      </mc:Fallback>
    </mc:AlternateContent>
    <mc:AlternateContent xmlns:mc="http://schemas.openxmlformats.org/markup-compatibility/2006">
      <mc:Choice Requires="x14">
        <control shapeId="6170" r:id="rId6" name="Label10">
          <controlPr defaultSize="0" autoLine="0" r:id="rId7">
            <anchor>
              <from>
                <xdr:col>8</xdr:col>
                <xdr:colOff>1257300</xdr:colOff>
                <xdr:row>31</xdr:row>
                <xdr:rowOff>85725</xdr:rowOff>
              </from>
              <to>
                <xdr:col>11</xdr:col>
                <xdr:colOff>542925</xdr:colOff>
                <xdr:row>33</xdr:row>
                <xdr:rowOff>9525</xdr:rowOff>
              </to>
            </anchor>
          </controlPr>
        </control>
      </mc:Choice>
      <mc:Fallback>
        <control shapeId="6170" r:id="rId6" name="Label10"/>
      </mc:Fallback>
    </mc:AlternateContent>
    <mc:AlternateContent xmlns:mc="http://schemas.openxmlformats.org/markup-compatibility/2006">
      <mc:Choice Requires="x14">
        <control shapeId="6168" r:id="rId8" name="Label13">
          <controlPr defaultSize="0" autoLine="0" r:id="rId9">
            <anchor>
              <from>
                <xdr:col>7</xdr:col>
                <xdr:colOff>657225</xdr:colOff>
                <xdr:row>9</xdr:row>
                <xdr:rowOff>161925</xdr:rowOff>
              </from>
              <to>
                <xdr:col>7</xdr:col>
                <xdr:colOff>838200</xdr:colOff>
                <xdr:row>10</xdr:row>
                <xdr:rowOff>152400</xdr:rowOff>
              </to>
            </anchor>
          </controlPr>
        </control>
      </mc:Choice>
      <mc:Fallback>
        <control shapeId="6168" r:id="rId8" name="Label13"/>
      </mc:Fallback>
    </mc:AlternateContent>
    <mc:AlternateContent xmlns:mc="http://schemas.openxmlformats.org/markup-compatibility/2006">
      <mc:Choice Requires="x14">
        <control shapeId="6167" r:id="rId10" name="tbFundoInvestimento">
          <controlPr defaultSize="0" autoLine="0" r:id="rId11">
            <anchor>
              <from>
                <xdr:col>6</xdr:col>
                <xdr:colOff>285750</xdr:colOff>
                <xdr:row>9</xdr:row>
                <xdr:rowOff>133350</xdr:rowOff>
              </from>
              <to>
                <xdr:col>8</xdr:col>
                <xdr:colOff>0</xdr:colOff>
                <xdr:row>10</xdr:row>
                <xdr:rowOff>171450</xdr:rowOff>
              </to>
            </anchor>
          </controlPr>
        </control>
      </mc:Choice>
      <mc:Fallback>
        <control shapeId="6167" r:id="rId10" name="tbFundoInvestimento"/>
      </mc:Fallback>
    </mc:AlternateContent>
    <mc:AlternateContent xmlns:mc="http://schemas.openxmlformats.org/markup-compatibility/2006">
      <mc:Choice Requires="x14">
        <control shapeId="6166" r:id="rId12" name="Label12">
          <controlPr defaultSize="0" autoLine="0" r:id="rId13">
            <anchor>
              <from>
                <xdr:col>4</xdr:col>
                <xdr:colOff>571500</xdr:colOff>
                <xdr:row>9</xdr:row>
                <xdr:rowOff>161925</xdr:rowOff>
              </from>
              <to>
                <xdr:col>8</xdr:col>
                <xdr:colOff>38100</xdr:colOff>
                <xdr:row>10</xdr:row>
                <xdr:rowOff>180975</xdr:rowOff>
              </to>
            </anchor>
          </controlPr>
        </control>
      </mc:Choice>
      <mc:Fallback>
        <control shapeId="6166" r:id="rId12" name="Label12"/>
      </mc:Fallback>
    </mc:AlternateContent>
    <mc:AlternateContent xmlns:mc="http://schemas.openxmlformats.org/markup-compatibility/2006">
      <mc:Choice Requires="x14">
        <control shapeId="6165" r:id="rId14" name="Label11">
          <controlPr defaultSize="0" autoLine="0" r:id="rId15">
            <anchor>
              <from>
                <xdr:col>7</xdr:col>
                <xdr:colOff>666750</xdr:colOff>
                <xdr:row>8</xdr:row>
                <xdr:rowOff>114300</xdr:rowOff>
              </from>
              <to>
                <xdr:col>7</xdr:col>
                <xdr:colOff>847725</xdr:colOff>
                <xdr:row>9</xdr:row>
                <xdr:rowOff>104775</xdr:rowOff>
              </to>
            </anchor>
          </controlPr>
        </control>
      </mc:Choice>
      <mc:Fallback>
        <control shapeId="6165" r:id="rId14" name="Label11"/>
      </mc:Fallback>
    </mc:AlternateContent>
    <mc:AlternateContent xmlns:mc="http://schemas.openxmlformats.org/markup-compatibility/2006">
      <mc:Choice Requires="x14">
        <control shapeId="6164" r:id="rId16" name="lbSaqueDisponivel">
          <controlPr defaultSize="0" autoLine="0" r:id="rId17">
            <anchor>
              <from>
                <xdr:col>5</xdr:col>
                <xdr:colOff>1123950</xdr:colOff>
                <xdr:row>8</xdr:row>
                <xdr:rowOff>85725</xdr:rowOff>
              </from>
              <to>
                <xdr:col>8</xdr:col>
                <xdr:colOff>0</xdr:colOff>
                <xdr:row>9</xdr:row>
                <xdr:rowOff>38100</xdr:rowOff>
              </to>
            </anchor>
          </controlPr>
        </control>
      </mc:Choice>
      <mc:Fallback>
        <control shapeId="6164" r:id="rId16" name="lbSaqueDisponivel"/>
      </mc:Fallback>
    </mc:AlternateContent>
    <mc:AlternateContent xmlns:mc="http://schemas.openxmlformats.org/markup-compatibility/2006">
      <mc:Choice Requires="x14">
        <control shapeId="6163" r:id="rId18" name="Label8">
          <controlPr defaultSize="0" autoLine="0" autoPict="0" r:id="rId19">
            <anchor>
              <from>
                <xdr:col>4</xdr:col>
                <xdr:colOff>571500</xdr:colOff>
                <xdr:row>8</xdr:row>
                <xdr:rowOff>76200</xdr:rowOff>
              </from>
              <to>
                <xdr:col>8</xdr:col>
                <xdr:colOff>0</xdr:colOff>
                <xdr:row>9</xdr:row>
                <xdr:rowOff>142875</xdr:rowOff>
              </to>
            </anchor>
          </controlPr>
        </control>
      </mc:Choice>
      <mc:Fallback>
        <control shapeId="6163" r:id="rId18" name="Label8"/>
      </mc:Fallback>
    </mc:AlternateContent>
    <mc:AlternateContent xmlns:mc="http://schemas.openxmlformats.org/markup-compatibility/2006">
      <mc:Choice Requires="x14">
        <control shapeId="6147" r:id="rId20" name="Label1">
          <controlPr defaultSize="0" autoLine="0" r:id="rId21">
            <anchor moveWithCells="1">
              <from>
                <xdr:col>4</xdr:col>
                <xdr:colOff>561975</xdr:colOff>
                <xdr:row>0</xdr:row>
                <xdr:rowOff>0</xdr:rowOff>
              </from>
              <to>
                <xdr:col>8</xdr:col>
                <xdr:colOff>28575</xdr:colOff>
                <xdr:row>4</xdr:row>
                <xdr:rowOff>9525</xdr:rowOff>
              </to>
            </anchor>
          </controlPr>
        </control>
      </mc:Choice>
      <mc:Fallback>
        <control shapeId="6147" r:id="rId20" name="Label1"/>
      </mc:Fallback>
    </mc:AlternateContent>
    <mc:AlternateContent xmlns:mc="http://schemas.openxmlformats.org/markup-compatibility/2006">
      <mc:Choice Requires="x14">
        <control shapeId="6148" r:id="rId22" name="tbCarteiraInicial">
          <controlPr defaultSize="0" autoLine="0" r:id="rId23">
            <anchor>
              <from>
                <xdr:col>4</xdr:col>
                <xdr:colOff>571500</xdr:colOff>
                <xdr:row>1</xdr:row>
                <xdr:rowOff>38100</xdr:rowOff>
              </from>
              <to>
                <xdr:col>8</xdr:col>
                <xdr:colOff>9525</xdr:colOff>
                <xdr:row>4</xdr:row>
                <xdr:rowOff>0</xdr:rowOff>
              </to>
            </anchor>
          </controlPr>
        </control>
      </mc:Choice>
      <mc:Fallback>
        <control shapeId="6148" r:id="rId22" name="tbCarteiraInicial"/>
      </mc:Fallback>
    </mc:AlternateContent>
    <mc:AlternateContent xmlns:mc="http://schemas.openxmlformats.org/markup-compatibility/2006">
      <mc:Choice Requires="x14">
        <control shapeId="6149" r:id="rId24" name="Label2">
          <controlPr defaultSize="0" autoLine="0" r:id="rId25">
            <anchor>
              <from>
                <xdr:col>7</xdr:col>
                <xdr:colOff>523875</xdr:colOff>
                <xdr:row>2</xdr:row>
                <xdr:rowOff>19050</xdr:rowOff>
              </from>
              <to>
                <xdr:col>7</xdr:col>
                <xdr:colOff>704850</xdr:colOff>
                <xdr:row>3</xdr:row>
                <xdr:rowOff>9525</xdr:rowOff>
              </to>
            </anchor>
          </controlPr>
        </control>
      </mc:Choice>
      <mc:Fallback>
        <control shapeId="6149" r:id="rId24" name="Label2"/>
      </mc:Fallback>
    </mc:AlternateContent>
    <mc:AlternateContent xmlns:mc="http://schemas.openxmlformats.org/markup-compatibility/2006">
      <mc:Choice Requires="x14">
        <control shapeId="6150" r:id="rId26" name="Label3">
          <controlPr defaultSize="0" autoLine="0" autoPict="0" r:id="rId27">
            <anchor>
              <from>
                <xdr:col>4</xdr:col>
                <xdr:colOff>571500</xdr:colOff>
                <xdr:row>4</xdr:row>
                <xdr:rowOff>9525</xdr:rowOff>
              </from>
              <to>
                <xdr:col>8</xdr:col>
                <xdr:colOff>0</xdr:colOff>
                <xdr:row>8</xdr:row>
                <xdr:rowOff>85725</xdr:rowOff>
              </to>
            </anchor>
          </controlPr>
        </control>
      </mc:Choice>
      <mc:Fallback>
        <control shapeId="6150" r:id="rId26" name="Label3"/>
      </mc:Fallback>
    </mc:AlternateContent>
    <mc:AlternateContent xmlns:mc="http://schemas.openxmlformats.org/markup-compatibility/2006">
      <mc:Choice Requires="x14">
        <control shapeId="6152" r:id="rId28" name="Label4">
          <controlPr defaultSize="0" autoLine="0" r:id="rId29">
            <anchor>
              <from>
                <xdr:col>7</xdr:col>
                <xdr:colOff>466725</xdr:colOff>
                <xdr:row>6</xdr:row>
                <xdr:rowOff>66675</xdr:rowOff>
              </from>
              <to>
                <xdr:col>7</xdr:col>
                <xdr:colOff>647700</xdr:colOff>
                <xdr:row>7</xdr:row>
                <xdr:rowOff>57150</xdr:rowOff>
              </to>
            </anchor>
          </controlPr>
        </control>
      </mc:Choice>
      <mc:Fallback>
        <control shapeId="6152" r:id="rId28" name="Label4"/>
      </mc:Fallback>
    </mc:AlternateContent>
    <mc:AlternateContent xmlns:mc="http://schemas.openxmlformats.org/markup-compatibility/2006">
      <mc:Choice Requires="x14">
        <control shapeId="6153" r:id="rId30" name="lbCarteiraAtual">
          <controlPr defaultSize="0" autoLine="0" autoPict="0" r:id="rId31">
            <anchor>
              <from>
                <xdr:col>5</xdr:col>
                <xdr:colOff>9525</xdr:colOff>
                <xdr:row>5</xdr:row>
                <xdr:rowOff>114300</xdr:rowOff>
              </from>
              <to>
                <xdr:col>7</xdr:col>
                <xdr:colOff>866775</xdr:colOff>
                <xdr:row>8</xdr:row>
                <xdr:rowOff>85725</xdr:rowOff>
              </to>
            </anchor>
          </controlPr>
        </control>
      </mc:Choice>
      <mc:Fallback>
        <control shapeId="6153" r:id="rId30" name="lbCarteiraAtual"/>
      </mc:Fallback>
    </mc:AlternateContent>
    <mc:AlternateContent xmlns:mc="http://schemas.openxmlformats.org/markup-compatibility/2006">
      <mc:Choice Requires="x14">
        <control shapeId="6169" r:id="rId32" name="lbRealizarSaque">
          <controlPr defaultSize="0" autoLine="0" r:id="rId33">
            <anchor>
              <from>
                <xdr:col>8</xdr:col>
                <xdr:colOff>0</xdr:colOff>
                <xdr:row>8</xdr:row>
                <xdr:rowOff>76200</xdr:rowOff>
              </from>
              <to>
                <xdr:col>8</xdr:col>
                <xdr:colOff>1438275</xdr:colOff>
                <xdr:row>9</xdr:row>
                <xdr:rowOff>57150</xdr:rowOff>
              </to>
            </anchor>
          </controlPr>
        </control>
      </mc:Choice>
      <mc:Fallback>
        <control shapeId="6169" r:id="rId32" name="lbRealizarSaque"/>
      </mc:Fallback>
    </mc:AlternateContent>
    <mc:AlternateContent xmlns:mc="http://schemas.openxmlformats.org/markup-compatibility/2006">
      <mc:Choice Requires="x14">
        <control shapeId="6173" r:id="rId34" name="Label5">
          <controlPr defaultSize="0" autoLine="0" r:id="rId35">
            <anchor>
              <from>
                <xdr:col>8</xdr:col>
                <xdr:colOff>1257300</xdr:colOff>
                <xdr:row>29</xdr:row>
                <xdr:rowOff>152400</xdr:rowOff>
              </from>
              <to>
                <xdr:col>11</xdr:col>
                <xdr:colOff>542925</xdr:colOff>
                <xdr:row>31</xdr:row>
                <xdr:rowOff>76200</xdr:rowOff>
              </to>
            </anchor>
          </controlPr>
        </control>
      </mc:Choice>
      <mc:Fallback>
        <control shapeId="6173" r:id="rId34" name="Label5"/>
      </mc:Fallback>
    </mc:AlternateContent>
    <mc:AlternateContent xmlns:mc="http://schemas.openxmlformats.org/markup-compatibility/2006">
      <mc:Choice Requires="x14">
        <control shapeId="6174" r:id="rId36" name="lbExcluirItem">
          <controlPr defaultSize="0" autoLine="0" r:id="rId37">
            <anchor>
              <from>
                <xdr:col>8</xdr:col>
                <xdr:colOff>1276350</xdr:colOff>
                <xdr:row>29</xdr:row>
                <xdr:rowOff>171450</xdr:rowOff>
              </from>
              <to>
                <xdr:col>11</xdr:col>
                <xdr:colOff>504825</xdr:colOff>
                <xdr:row>31</xdr:row>
                <xdr:rowOff>28575</xdr:rowOff>
              </to>
            </anchor>
          </controlPr>
        </control>
      </mc:Choice>
      <mc:Fallback>
        <control shapeId="6174" r:id="rId36" name="lbExcluirItem"/>
      </mc:Fallback>
    </mc:AlternateContent>
    <mc:AlternateContent xmlns:mc="http://schemas.openxmlformats.org/markup-compatibility/2006">
      <mc:Choice Requires="x14">
        <control shapeId="6176" r:id="rId38" name="tgbtEsteMes">
          <controlPr defaultSize="0" autoLine="0" autoPict="0" r:id="rId39">
            <anchor moveWithCells="1">
              <from>
                <xdr:col>10</xdr:col>
                <xdr:colOff>790575</xdr:colOff>
                <xdr:row>8</xdr:row>
                <xdr:rowOff>28575</xdr:rowOff>
              </from>
              <to>
                <xdr:col>10</xdr:col>
                <xdr:colOff>1657350</xdr:colOff>
                <xdr:row>10</xdr:row>
                <xdr:rowOff>28575</xdr:rowOff>
              </to>
            </anchor>
          </controlPr>
        </control>
      </mc:Choice>
      <mc:Fallback>
        <control shapeId="6176" r:id="rId38" name="tgbtEsteMes"/>
      </mc:Fallback>
    </mc:AlternateContent>
    <mc:AlternateContent xmlns:mc="http://schemas.openxmlformats.org/markup-compatibility/2006">
      <mc:Choice Requires="x14">
        <control shapeId="6178" r:id="rId40" name="Label6">
          <controlPr defaultSize="0" autoLine="0" r:id="rId41">
            <anchor>
              <from>
                <xdr:col>8</xdr:col>
                <xdr:colOff>1257300</xdr:colOff>
                <xdr:row>28</xdr:row>
                <xdr:rowOff>38100</xdr:rowOff>
              </from>
              <to>
                <xdr:col>11</xdr:col>
                <xdr:colOff>542925</xdr:colOff>
                <xdr:row>29</xdr:row>
                <xdr:rowOff>152400</xdr:rowOff>
              </to>
            </anchor>
          </controlPr>
        </control>
      </mc:Choice>
      <mc:Fallback>
        <control shapeId="6178" r:id="rId40" name="Label6"/>
      </mc:Fallback>
    </mc:AlternateContent>
    <mc:AlternateContent xmlns:mc="http://schemas.openxmlformats.org/markup-compatibility/2006">
      <mc:Choice Requires="x14">
        <control shapeId="6179" r:id="rId42" name="lbAnalise">
          <controlPr defaultSize="0" autoLine="0" r:id="rId43">
            <anchor>
              <from>
                <xdr:col>8</xdr:col>
                <xdr:colOff>1276350</xdr:colOff>
                <xdr:row>28</xdr:row>
                <xdr:rowOff>57150</xdr:rowOff>
              </from>
              <to>
                <xdr:col>11</xdr:col>
                <xdr:colOff>504825</xdr:colOff>
                <xdr:row>29</xdr:row>
                <xdr:rowOff>104775</xdr:rowOff>
              </to>
            </anchor>
          </controlPr>
        </control>
      </mc:Choice>
      <mc:Fallback>
        <control shapeId="6179" r:id="rId42" name="lbAnalise"/>
      </mc:Fallback>
    </mc:AlternateContent>
    <mc:AlternateContent xmlns:mc="http://schemas.openxmlformats.org/markup-compatibility/2006">
      <mc:Choice Requires="x14">
        <control shapeId="6180" r:id="rId44" name="CheckBox1">
          <controlPr defaultSize="0" autoLine="0" r:id="rId45">
            <anchor moveWithCells="1">
              <from>
                <xdr:col>11</xdr:col>
                <xdr:colOff>38100</xdr:colOff>
                <xdr:row>8</xdr:row>
                <xdr:rowOff>133350</xdr:rowOff>
              </from>
              <to>
                <xdr:col>11</xdr:col>
                <xdr:colOff>180975</xdr:colOff>
                <xdr:row>9</xdr:row>
                <xdr:rowOff>104775</xdr:rowOff>
              </to>
            </anchor>
          </controlPr>
        </control>
      </mc:Choice>
      <mc:Fallback>
        <control shapeId="6180" r:id="rId44" name="CheckBox1"/>
      </mc:Fallback>
    </mc:AlternateContent>
  </controls>
  <tableParts count="1">
    <tablePart r:id="rId4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ACD2E-E3D7-4EF7-8444-126635B51159}">
  <sheetPr codeName="Planilha8"/>
  <dimension ref="B1:F4"/>
  <sheetViews>
    <sheetView showGridLines="0" showRowColHeaders="0" workbookViewId="0">
      <selection activeCell="G2" sqref="G2"/>
    </sheetView>
  </sheetViews>
  <sheetFormatPr defaultRowHeight="15" x14ac:dyDescent="0.25"/>
  <cols>
    <col min="2" max="5" width="11.7109375" customWidth="1"/>
    <col min="7" max="7" width="18" bestFit="1" customWidth="1"/>
    <col min="8" max="8" width="15.140625" bestFit="1" customWidth="1"/>
    <col min="9" max="9" width="10.7109375" bestFit="1" customWidth="1"/>
  </cols>
  <sheetData>
    <row r="1" spans="2:6" ht="5.25" customHeight="1" x14ac:dyDescent="0.25"/>
    <row r="2" spans="2:6" ht="18.75" x14ac:dyDescent="0.3">
      <c r="B2" s="51"/>
      <c r="C2" s="51"/>
      <c r="D2" s="51"/>
      <c r="E2" s="51"/>
    </row>
    <row r="3" spans="2:6" x14ac:dyDescent="0.25">
      <c r="B3" s="52"/>
      <c r="C3" s="52"/>
      <c r="D3" s="52"/>
      <c r="E3" s="52"/>
    </row>
    <row r="4" spans="2:6" x14ac:dyDescent="0.25">
      <c r="B4" s="52"/>
      <c r="C4" s="52"/>
      <c r="D4" s="52"/>
      <c r="E4" s="52"/>
      <c r="F4" s="30"/>
    </row>
  </sheetData>
  <mergeCells count="2">
    <mergeCell ref="B2:E2"/>
    <mergeCell ref="B3:E4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8" r:id="rId4" name="btMenu">
          <controlPr defaultSize="0" autoLine="0" r:id="rId5">
            <anchor moveWithCells="1">
              <from>
                <xdr:col>0</xdr:col>
                <xdr:colOff>57150</xdr:colOff>
                <xdr:row>32</xdr:row>
                <xdr:rowOff>95250</xdr:rowOff>
              </from>
              <to>
                <xdr:col>1</xdr:col>
                <xdr:colOff>600075</xdr:colOff>
                <xdr:row>34</xdr:row>
                <xdr:rowOff>161925</xdr:rowOff>
              </to>
            </anchor>
          </controlPr>
        </control>
      </mc:Choice>
      <mc:Fallback>
        <control shapeId="14338" r:id="rId4" name="btMenu"/>
      </mc:Fallback>
    </mc:AlternateContent>
    <mc:AlternateContent xmlns:mc="http://schemas.openxmlformats.org/markup-compatibility/2006">
      <mc:Choice Requires="x14">
        <control shapeId="14339" r:id="rId6" name="btFluxoCaixa">
          <controlPr defaultSize="0" autoLine="0" r:id="rId7">
            <anchor moveWithCells="1">
              <from>
                <xdr:col>1</xdr:col>
                <xdr:colOff>628650</xdr:colOff>
                <xdr:row>32</xdr:row>
                <xdr:rowOff>76200</xdr:rowOff>
              </from>
              <to>
                <xdr:col>3</xdr:col>
                <xdr:colOff>219075</xdr:colOff>
                <xdr:row>34</xdr:row>
                <xdr:rowOff>142875</xdr:rowOff>
              </to>
            </anchor>
          </controlPr>
        </control>
      </mc:Choice>
      <mc:Fallback>
        <control shapeId="14339" r:id="rId6" name="btFluxoCaixa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233F-E678-4765-A3BB-822B240FD385}">
  <sheetPr codeName="Planilha9"/>
  <dimension ref="A1:H9"/>
  <sheetViews>
    <sheetView workbookViewId="0">
      <selection activeCell="A8" sqref="A8"/>
    </sheetView>
  </sheetViews>
  <sheetFormatPr defaultRowHeight="15" x14ac:dyDescent="0.25"/>
  <cols>
    <col min="1" max="1" width="18" bestFit="1" customWidth="1"/>
    <col min="2" max="3" width="15.140625" bestFit="1" customWidth="1"/>
    <col min="4" max="4" width="18" bestFit="1" customWidth="1"/>
    <col min="5" max="5" width="15.140625" bestFit="1" customWidth="1"/>
    <col min="7" max="7" width="18" bestFit="1" customWidth="1"/>
    <col min="8" max="8" width="15.140625" bestFit="1" customWidth="1"/>
    <col min="10" max="10" width="18" bestFit="1" customWidth="1"/>
  </cols>
  <sheetData>
    <row r="1" spans="1:8" x14ac:dyDescent="0.25">
      <c r="A1" s="11" t="s">
        <v>12</v>
      </c>
      <c r="B1" t="s">
        <v>57</v>
      </c>
      <c r="D1" s="11" t="s">
        <v>52</v>
      </c>
      <c r="E1" t="s">
        <v>64</v>
      </c>
      <c r="G1" s="11" t="s">
        <v>53</v>
      </c>
      <c r="H1" t="s">
        <v>55</v>
      </c>
    </row>
    <row r="2" spans="1:8" x14ac:dyDescent="0.25">
      <c r="A2" s="11" t="s">
        <v>8</v>
      </c>
      <c r="B2" t="s">
        <v>57</v>
      </c>
      <c r="G2" s="1" t="s">
        <v>64</v>
      </c>
    </row>
    <row r="3" spans="1:8" x14ac:dyDescent="0.25">
      <c r="A3" s="11" t="s">
        <v>52</v>
      </c>
      <c r="B3" t="s">
        <v>57</v>
      </c>
      <c r="D3" s="11" t="s">
        <v>53</v>
      </c>
      <c r="E3" t="s">
        <v>55</v>
      </c>
      <c r="G3" s="1" t="s">
        <v>54</v>
      </c>
    </row>
    <row r="4" spans="1:8" x14ac:dyDescent="0.25">
      <c r="A4" s="11" t="s">
        <v>6</v>
      </c>
      <c r="B4" t="s">
        <v>57</v>
      </c>
      <c r="D4" s="1" t="s">
        <v>64</v>
      </c>
    </row>
    <row r="5" spans="1:8" x14ac:dyDescent="0.25">
      <c r="A5" s="11" t="s">
        <v>10</v>
      </c>
      <c r="B5" t="s">
        <v>57</v>
      </c>
      <c r="D5" s="1" t="s">
        <v>54</v>
      </c>
    </row>
    <row r="7" spans="1:8" x14ac:dyDescent="0.25">
      <c r="A7" s="11" t="s">
        <v>53</v>
      </c>
      <c r="B7" t="s">
        <v>55</v>
      </c>
    </row>
    <row r="8" spans="1:8" x14ac:dyDescent="0.25">
      <c r="A8" s="25" t="s">
        <v>64</v>
      </c>
    </row>
    <row r="9" spans="1:8" x14ac:dyDescent="0.25">
      <c r="A9" s="25" t="s">
        <v>54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F403D3-B9BC-4231-8F99-87BC910CF3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MENU</vt:lpstr>
      <vt:lpstr>CLIENTES</vt:lpstr>
      <vt:lpstr>FORNECEDORES</vt:lpstr>
      <vt:lpstr>ESTOQUE</vt:lpstr>
      <vt:lpstr>COMPRAS</vt:lpstr>
      <vt:lpstr>VENDAS</vt:lpstr>
      <vt:lpstr>FLUXO DE CAIXA</vt:lpstr>
      <vt:lpstr>DASHBOARD</vt:lpstr>
      <vt:lpstr>DASHBOARD_DATA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</dc:creator>
  <cp:lastModifiedBy>Rafael Luna | EAÍ?! Content Experience</cp:lastModifiedBy>
  <dcterms:created xsi:type="dcterms:W3CDTF">2020-08-14T05:16:10Z</dcterms:created>
  <dcterms:modified xsi:type="dcterms:W3CDTF">2023-10-14T14:00:14Z</dcterms:modified>
</cp:coreProperties>
</file>