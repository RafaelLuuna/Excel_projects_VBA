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fael.luna\Documents\PROJETOS EXCEL\PDV ADEGA MARQUINHOS\"/>
    </mc:Choice>
  </mc:AlternateContent>
  <xr:revisionPtr revIDLastSave="0" documentId="13_ncr:1_{56FBF037-5FF6-4715-88FE-6D2CAD1DD869}" xr6:coauthVersionLast="47" xr6:coauthVersionMax="47" xr10:uidLastSave="{00000000-0000-0000-0000-000000000000}"/>
  <bookViews>
    <workbookView xWindow="-120" yWindow="-120" windowWidth="20730" windowHeight="11160" firstSheet="1" activeTab="5" xr2:uid="{CC7FC5DB-E1FA-4F85-B267-22AD678A85CD}"/>
  </bookViews>
  <sheets>
    <sheet name="Info. do caixa atual" sheetId="5" state="hidden" r:id="rId1"/>
    <sheet name="PDV" sheetId="1" r:id="rId2"/>
    <sheet name="Resumo de vendas" sheetId="7" r:id="rId3"/>
    <sheet name="Vendas (Resumo)" sheetId="8" r:id="rId4"/>
    <sheet name="Vendas por produto" sheetId="2" r:id="rId5"/>
    <sheet name="Registro de PDV" sheetId="6" r:id="rId6"/>
    <sheet name="Entradas e Saídas" sheetId="4" r:id="rId7"/>
    <sheet name="Base_Produtos" sheetId="3" r:id="rId8"/>
    <sheet name="Compras_Mercadoria" sheetId="9" r:id="rId9"/>
  </sheets>
  <definedNames>
    <definedName name="_xlcn.WorksheetConnection_PDV_ADEGA_v1_28.05.2023.xlsmtabVendas1" hidden="1">tabVendas[]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Vendas" name="tabVendas" connection="WorksheetConnection_PDV_ADEGA_v1_28.05.2023.xlsm!tabVendas"/>
        </x15:modelTables>
        <x15:extLst>
          <ext xmlns:x16="http://schemas.microsoft.com/office/spreadsheetml/2014/11/main" uri="{9835A34E-60A6-4A7C-AAB8-D5F71C897F49}">
            <x16:modelTimeGroupings>
              <x16:modelTimeGrouping tableName="tabVendas" columnName="Data" columnId="Data">
                <x16:calculatedTimeColumn columnName="Data (Ano)" columnId="Data (Ano)" contentType="yea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  <x16:calculatedTimeColumn columnName="Data (Índice de Dia)" columnId="Data (Índice de Dia)" contentType="daysindex" isSelected="1"/>
                <x16:calculatedTimeColumn columnName="Data (Dia)" columnId="Data (Dia)" contentType="days" isSelected="1"/>
                <x16:calculatedTimeColumn columnName="Data (Hora)" columnId="Data (Hora)" contentType="hours" isSelected="0"/>
                <x16:calculatedTimeColumn columnName="Data (Minuto)" columnId="Data (Minuto)" contentType="minutes" isSelected="0"/>
                <x16:calculatedTimeColumn columnName="Data (Segundo)" columnId="Data (Segundo)" contentType="second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F14" i="3"/>
  <c r="G14" i="3" s="1"/>
  <c r="J14" i="3" s="1" a="1"/>
  <c r="J14" i="3" s="1"/>
  <c r="F2" i="3"/>
  <c r="G2" i="3" s="1"/>
  <c r="J2" i="3" s="1" a="1"/>
  <c r="J2" i="3" s="1"/>
  <c r="F3" i="3"/>
  <c r="G3" i="3" s="1"/>
  <c r="J3" i="3" s="1" a="1"/>
  <c r="J3" i="3" s="1"/>
  <c r="F4" i="3"/>
  <c r="G4" i="3" s="1"/>
  <c r="J4" i="3" s="1" a="1"/>
  <c r="J4" i="3" s="1"/>
  <c r="F5" i="3"/>
  <c r="G5" i="3" s="1"/>
  <c r="J5" i="3" s="1" a="1"/>
  <c r="J5" i="3" s="1"/>
  <c r="F6" i="3"/>
  <c r="G6" i="3" s="1"/>
  <c r="J6" i="3" s="1" a="1"/>
  <c r="J6" i="3" s="1"/>
  <c r="F7" i="3"/>
  <c r="G7" i="3" s="1"/>
  <c r="J7" i="3" s="1" a="1"/>
  <c r="J7" i="3" s="1"/>
  <c r="F8" i="3"/>
  <c r="G8" i="3" s="1"/>
  <c r="J8" i="3" s="1" a="1"/>
  <c r="J8" i="3" s="1"/>
  <c r="F9" i="3"/>
  <c r="G9" i="3" s="1"/>
  <c r="J9" i="3" s="1" a="1"/>
  <c r="J9" i="3" s="1"/>
  <c r="F10" i="3"/>
  <c r="G10" i="3" s="1"/>
  <c r="J10" i="3" s="1" a="1"/>
  <c r="J10" i="3" s="1"/>
  <c r="F11" i="3"/>
  <c r="G11" i="3" s="1"/>
  <c r="J11" i="3" s="1" a="1"/>
  <c r="J11" i="3" s="1"/>
  <c r="F12" i="3"/>
  <c r="G12" i="3" s="1"/>
  <c r="J12" i="3" s="1" a="1"/>
  <c r="J12" i="3" s="1"/>
  <c r="F13" i="3"/>
  <c r="G13" i="3" s="1"/>
  <c r="J13" i="3" s="1" a="1"/>
  <c r="J13" i="3" s="1"/>
  <c r="H3" i="8"/>
  <c r="H2" i="8"/>
  <c r="B15" i="5"/>
  <c r="B14" i="5"/>
  <c r="I1" i="5"/>
  <c r="P4" i="5"/>
  <c r="P5" i="5"/>
  <c r="P6" i="5"/>
  <c r="P3" i="5"/>
  <c r="C5" i="1"/>
  <c r="E5" i="1"/>
  <c r="A5" i="1"/>
  <c r="I5" i="1"/>
  <c r="M2" i="5" s="1"/>
  <c r="P2" i="5" s="1"/>
  <c r="B9" i="5" l="1"/>
  <c r="B7" i="5" s="1"/>
  <c r="B3" i="5" s="1"/>
  <c r="B10" i="5"/>
  <c r="B11" i="5"/>
  <c r="B12" i="5"/>
  <c r="B13" i="5"/>
  <c r="P1" i="5"/>
  <c r="F5" i="1"/>
  <c r="B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EEDFD-EF1A-4E0C-9AD6-764B2839F09B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9CDC7DD-F4DC-468A-836E-75BEB76FE3CC}" name="WorksheetConnection_PDV_ADEGA_v1_28.05.2023.xlsm!tabVendas" type="102" refreshedVersion="8" minRefreshableVersion="5">
    <extLst>
      <ext xmlns:x15="http://schemas.microsoft.com/office/spreadsheetml/2010/11/main" uri="{DE250136-89BD-433C-8126-D09CA5730AF9}">
        <x15:connection id="tabVendas" autoDelete="1">
          <x15:rangePr sourceName="_xlcn.WorksheetConnection_PDV_ADEGA_v1_28.05.2023.xlsmtabVend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<sst xmlns="http://schemas.openxmlformats.org/spreadsheetml/2006/main" count="130" uniqueCount="98">
  <si>
    <t># Pedido</t>
  </si>
  <si>
    <t>Data</t>
  </si>
  <si>
    <t>Produto</t>
  </si>
  <si>
    <t>Qnt.</t>
  </si>
  <si>
    <t>Valor Unitario</t>
  </si>
  <si>
    <t>Valor total</t>
  </si>
  <si>
    <t>Código</t>
  </si>
  <si>
    <t>Descrição</t>
  </si>
  <si>
    <t>Data e hora</t>
  </si>
  <si>
    <t>Valor</t>
  </si>
  <si>
    <t>Quantidade</t>
  </si>
  <si>
    <t>Valor unitáiro</t>
  </si>
  <si>
    <t>Valor total:</t>
  </si>
  <si>
    <t>Valor de venda</t>
  </si>
  <si>
    <t>Código de barra</t>
  </si>
  <si>
    <t>Responsável</t>
  </si>
  <si>
    <t>Fundo de caixa</t>
  </si>
  <si>
    <t>Data Abertura</t>
  </si>
  <si>
    <t>Data Fechamento</t>
  </si>
  <si>
    <t>Entradas</t>
  </si>
  <si>
    <t>Saídas</t>
  </si>
  <si>
    <t>Vl. Fechamento</t>
  </si>
  <si>
    <t>Vl. Fechamento (Real)</t>
  </si>
  <si>
    <t>Rótulos de Linha</t>
  </si>
  <si>
    <t>Total Geral</t>
  </si>
  <si>
    <t>Tipo</t>
  </si>
  <si>
    <t>Entrada/Saída</t>
  </si>
  <si>
    <t>Custo</t>
  </si>
  <si>
    <t>Modo tela cheia:</t>
  </si>
  <si>
    <t>#Pedido</t>
  </si>
  <si>
    <t>Dinheiro</t>
  </si>
  <si>
    <t>Débito</t>
  </si>
  <si>
    <t>2023</t>
  </si>
  <si>
    <t>mai</t>
  </si>
  <si>
    <t>29-mai</t>
  </si>
  <si>
    <t>Soma de Valor total</t>
  </si>
  <si>
    <t>Tipo Pagamento (temp.)</t>
  </si>
  <si>
    <t>Valor pago (temp.)</t>
  </si>
  <si>
    <t>Total a pagar</t>
  </si>
  <si>
    <t>Pix</t>
  </si>
  <si>
    <t>VR</t>
  </si>
  <si>
    <t>Crédito</t>
  </si>
  <si>
    <t>Vl. Dinheiro</t>
  </si>
  <si>
    <t>Vl. Débito</t>
  </si>
  <si>
    <t>Vl. Crédito</t>
  </si>
  <si>
    <t>Vl. VR</t>
  </si>
  <si>
    <t>Vl. Pix</t>
  </si>
  <si>
    <t>Total da Venda</t>
  </si>
  <si>
    <t>Total da venda</t>
  </si>
  <si>
    <t>Vendas em Dinheiro</t>
  </si>
  <si>
    <t>Vendas em Débito</t>
  </si>
  <si>
    <t>Vendas em Crédito</t>
  </si>
  <si>
    <t>Vendas em VR</t>
  </si>
  <si>
    <t>Vendas em Pix</t>
  </si>
  <si>
    <t>Total vendido (Geral)</t>
  </si>
  <si>
    <t>Variação do caixa</t>
  </si>
  <si>
    <t>Está no caixa atual?</t>
  </si>
  <si>
    <t>1</t>
  </si>
  <si>
    <t>2</t>
  </si>
  <si>
    <t>3</t>
  </si>
  <si>
    <t>4</t>
  </si>
  <si>
    <t>5</t>
  </si>
  <si>
    <t xml:space="preserve">marquinhos </t>
  </si>
  <si>
    <t>7891079000229</t>
  </si>
  <si>
    <t xml:space="preserve">miojo de galinha </t>
  </si>
  <si>
    <t xml:space="preserve">torcida sabores </t>
  </si>
  <si>
    <t xml:space="preserve">caixa de pedra </t>
  </si>
  <si>
    <t xml:space="preserve"> caixa itaipava </t>
  </si>
  <si>
    <t>itaipava 267</t>
  </si>
  <si>
    <t>6</t>
  </si>
  <si>
    <t xml:space="preserve">caixa brahma </t>
  </si>
  <si>
    <t>7</t>
  </si>
  <si>
    <t xml:space="preserve">brahma 350 </t>
  </si>
  <si>
    <t>8</t>
  </si>
  <si>
    <t xml:space="preserve">caixa de imperio </t>
  </si>
  <si>
    <t xml:space="preserve">imperio </t>
  </si>
  <si>
    <t>petra 269</t>
  </si>
  <si>
    <t>9</t>
  </si>
  <si>
    <t xml:space="preserve"> caixa de budweiser  </t>
  </si>
  <si>
    <t>10</t>
  </si>
  <si>
    <t>budweiser 269</t>
  </si>
  <si>
    <t>Estoque inicial</t>
  </si>
  <si>
    <t>Estoque atual</t>
  </si>
  <si>
    <t>Estoque mínimo</t>
  </si>
  <si>
    <t>Unidades vendidas</t>
  </si>
  <si>
    <t>Status</t>
  </si>
  <si>
    <t>Margem de segurança</t>
  </si>
  <si>
    <t>Fornecedor</t>
  </si>
  <si>
    <t>Data da compra</t>
  </si>
  <si>
    <t>Cód. Do produto</t>
  </si>
  <si>
    <t>Desc. Do produto</t>
  </si>
  <si>
    <t>Vl. De custo</t>
  </si>
  <si>
    <t>5054</t>
  </si>
  <si>
    <t>teste</t>
  </si>
  <si>
    <t>Entrada</t>
  </si>
  <si>
    <t>troco</t>
  </si>
  <si>
    <t>Saída</t>
  </si>
  <si>
    <t>sangria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</si>
</sst>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165" formatCode="_(&quot;R$&quot;* #,##0.00_);_(&quot;R$&quot;* \(#,##0.00\);_(&quot;R$&quot;* &quot;-&quot;??_);_(@_)"/>
    <numFmt numFmtId="166" formatCode="m/d/yyyy\ h:m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34">
    <xf numFmtId="0" fontId="0" fillId="0" borderId="0" xfId="0"/>
    <xf numFmtId="165" fontId="0" fillId="0" borderId="0" xfId="1" applyFont="1"/>
    <xf numFmtId="0" fontId="2" fillId="2" borderId="0" xfId="0" applyFont="1" applyFill="1"/>
    <xf numFmtId="0" fontId="0" fillId="3" borderId="1" xfId="0" applyFill="1" applyBorder="1"/>
    <xf numFmtId="0" fontId="0" fillId="3" borderId="2" xfId="0" applyFill="1" applyBorder="1"/>
    <xf numFmtId="0" fontId="0" fillId="3" borderId="0" xfId="0" applyFill="1"/>
    <xf numFmtId="1" fontId="0" fillId="3" borderId="1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65" fontId="0" fillId="3" borderId="1" xfId="1" applyFont="1" applyFill="1" applyBorder="1"/>
    <xf numFmtId="165" fontId="0" fillId="3" borderId="2" xfId="1" applyFont="1" applyFill="1" applyBorder="1"/>
    <xf numFmtId="0" fontId="2" fillId="2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" fontId="3" fillId="0" borderId="0" xfId="0" applyNumberFormat="1" applyFont="1"/>
    <xf numFmtId="165" fontId="0" fillId="0" borderId="0" xfId="0" applyNumberFormat="1"/>
    <xf numFmtId="165" fontId="5" fillId="3" borderId="0" xfId="1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22" fontId="0" fillId="3" borderId="0" xfId="0" applyNumberFormat="1" applyFill="1"/>
    <xf numFmtId="0" fontId="0" fillId="10" borderId="0" xfId="0" applyFill="1"/>
    <xf numFmtId="22" fontId="0" fillId="0" borderId="0" xfId="1" applyNumberFormat="1" applyFont="1"/>
    <xf numFmtId="166" fontId="0" fillId="0" borderId="0" xfId="0" applyNumberFormat="1"/>
    <xf numFmtId="1" fontId="3" fillId="0" borderId="0" xfId="0" applyNumberFormat="1" applyFont="1" applyFill="1"/>
    <xf numFmtId="0" fontId="0" fillId="0" borderId="0" xfId="0" applyNumberFormat="1"/>
    <xf numFmtId="8" fontId="0" fillId="8" borderId="0" xfId="1" applyNumberFormat="1" applyFont="1" applyFill="1"/>
  </cellXfs>
  <cellStyles count="2">
    <cellStyle name="Moeda" xfId="1" builtinId="4"/>
    <cellStyle name="Normal" xfId="0" builtinId="0"/>
  </cellStyles>
  <dxfs count="46">
    <dxf>
      <numFmt numFmtId="12" formatCode="&quot;R$&quot;\ #,##0.00;[Red]\-&quot;R$&quot;\ #,##0.00"/>
      <fill>
        <patternFill patternType="solid">
          <fgColor indexed="64"/>
          <bgColor theme="0" tint="-0.249977111117893"/>
        </patternFill>
      </fill>
    </dxf>
    <dxf>
      <numFmt numFmtId="166" formatCode="m/d/yyyy\ h:mm"/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color theme="9"/>
      </font>
      <fill>
        <patternFill>
          <bgColor theme="9" tint="0.7999816888943144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i val="0"/>
        <color rgb="FFC00000"/>
      </font>
      <fill>
        <patternFill>
          <bgColor rgb="FFFF9999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theme="1" tint="0.499984740745262"/>
      </font>
      <fill>
        <patternFill>
          <bgColor theme="0" tint="-4.9989318521683403E-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6" formatCode="m/d/yyyy\ h:mm"/>
    </dxf>
    <dxf>
      <numFmt numFmtId="166" formatCode="m/d/yyyy\ h:mm"/>
      <fill>
        <patternFill patternType="solid">
          <fgColor indexed="64"/>
          <bgColor theme="0" tint="-4.9989318521683403E-2"/>
        </patternFill>
      </fill>
    </dxf>
    <dxf>
      <numFmt numFmtId="1" formatCode="0"/>
    </dxf>
    <dxf>
      <numFmt numFmtId="166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[PDV_ADEGA_v1_28.05.2023.xlsm]Resumo de vendas!Tabela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faturado</a:t>
            </a:r>
            <a:r>
              <a:rPr lang="en-US" baseline="0"/>
              <a:t> por período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tx2"/>
            </a:solidFill>
            <a:round/>
          </a:ln>
          <a:effectLst/>
        </c:spPr>
        <c:marker>
          <c:spPr>
            <a:solidFill>
              <a:schemeClr val="tx2"/>
            </a:solidFill>
            <a:ln w="9525">
              <a:solidFill>
                <a:schemeClr val="tx2"/>
              </a:solidFill>
            </a:ln>
            <a:effectLst/>
          </c:spPr>
        </c:marker>
        <c:dLbl>
          <c:idx val="0"/>
          <c:spPr>
            <a:solidFill>
              <a:schemeClr val="tx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'Resumo de vendas'!$C$2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'Resumo de vendas'!$B$3:$B$6</c:f>
              <c:multiLvlStrCache>
                <c:ptCount val="1"/>
                <c:lvl>
                  <c:pt idx="0">
                    <c:v>29-mai</c:v>
                  </c:pt>
                </c:lvl>
                <c:lvl>
                  <c:pt idx="0">
                    <c:v>mai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'Resumo de vendas'!$C$3:$C$6</c:f>
              <c:numCache>
                <c:formatCode>General</c:formatCode>
                <c:ptCount val="1"/>
                <c:pt idx="0">
                  <c:v>147.9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A-422C-91DF-9B9E8B1F36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52006895"/>
        <c:axId val="1352013135"/>
      </c:lineChart>
      <c:catAx>
        <c:axId val="135200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2013135"/>
        <c:crosses val="autoZero"/>
        <c:auto val="1"/>
        <c:lblAlgn val="ctr"/>
        <c:lblOffset val="100"/>
        <c:noMultiLvlLbl val="0"/>
      </c:catAx>
      <c:valAx>
        <c:axId val="13520131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5200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7</xdr:row>
          <xdr:rowOff>104775</xdr:rowOff>
        </xdr:from>
        <xdr:to>
          <xdr:col>10</xdr:col>
          <xdr:colOff>466725</xdr:colOff>
          <xdr:row>8</xdr:row>
          <xdr:rowOff>180975</xdr:rowOff>
        </xdr:to>
        <xdr:sp macro="" textlink="">
          <xdr:nvSpPr>
            <xdr:cNvPr id="1025" name="Bar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552450</xdr:colOff>
          <xdr:row>7</xdr:row>
          <xdr:rowOff>104775</xdr:rowOff>
        </xdr:from>
        <xdr:to>
          <xdr:col>11</xdr:col>
          <xdr:colOff>619125</xdr:colOff>
          <xdr:row>8</xdr:row>
          <xdr:rowOff>180975</xdr:rowOff>
        </xdr:to>
        <xdr:sp macro="" textlink="">
          <xdr:nvSpPr>
            <xdr:cNvPr id="1026" name="Q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65661</xdr:colOff>
      <xdr:row>16</xdr:row>
      <xdr:rowOff>96464</xdr:rowOff>
    </xdr:from>
    <xdr:to>
      <xdr:col>11</xdr:col>
      <xdr:colOff>619125</xdr:colOff>
      <xdr:row>21</xdr:row>
      <xdr:rowOff>77414</xdr:rowOff>
    </xdr:to>
    <xdr:sp macro="" textlink="'Info. do caixa atual'!M2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23836" y="2611064"/>
          <a:ext cx="3601464" cy="933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34B7D1-725F-4531-A713-AF51F59B6E5B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R$-   </a:t>
          </a:fld>
          <a:endParaRPr lang="pt-BR" sz="7200" b="1"/>
        </a:p>
      </xdr:txBody>
    </xdr:sp>
    <xdr:clientData/>
  </xdr:twoCellAnchor>
  <xdr:twoCellAnchor editAs="absolute">
    <xdr:from>
      <xdr:col>6</xdr:col>
      <xdr:colOff>65661</xdr:colOff>
      <xdr:row>14</xdr:row>
      <xdr:rowOff>19050</xdr:rowOff>
    </xdr:from>
    <xdr:to>
      <xdr:col>11</xdr:col>
      <xdr:colOff>619125</xdr:colOff>
      <xdr:row>16</xdr:row>
      <xdr:rowOff>58364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323836" y="2152650"/>
          <a:ext cx="3601464" cy="420314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t>Valor total da venda</a:t>
          </a:r>
        </a:p>
      </xdr:txBody>
    </xdr:sp>
    <xdr:clientData/>
  </xdr:twoCellAnchor>
  <xdr:twoCellAnchor editAs="absolute">
    <xdr:from>
      <xdr:col>6</xdr:col>
      <xdr:colOff>67690</xdr:colOff>
      <xdr:row>1</xdr:row>
      <xdr:rowOff>219075</xdr:rowOff>
    </xdr:from>
    <xdr:to>
      <xdr:col>11</xdr:col>
      <xdr:colOff>623178</xdr:colOff>
      <xdr:row>6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325865" y="409575"/>
          <a:ext cx="3603488" cy="266700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t>Consultar código de barras</a:t>
          </a:r>
        </a:p>
      </xdr:txBody>
    </xdr:sp>
    <xdr:clientData/>
  </xdr:twoCellAnchor>
  <xdr:twoCellAnchor editAs="absolute">
    <xdr:from>
      <xdr:col>10</xdr:col>
      <xdr:colOff>565577</xdr:colOff>
      <xdr:row>6</xdr:row>
      <xdr:rowOff>92629</xdr:rowOff>
    </xdr:from>
    <xdr:to>
      <xdr:col>11</xdr:col>
      <xdr:colOff>623178</xdr:colOff>
      <xdr:row>7</xdr:row>
      <xdr:rowOff>76634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62152" y="702229"/>
          <a:ext cx="667201" cy="17450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/>
              </a:solidFill>
              <a:latin typeface="Calibri"/>
              <a:cs typeface="Calibri"/>
            </a:rPr>
            <a:t>Qnt.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21</xdr:row>
          <xdr:rowOff>133350</xdr:rowOff>
        </xdr:from>
        <xdr:to>
          <xdr:col>11</xdr:col>
          <xdr:colOff>628650</xdr:colOff>
          <xdr:row>25</xdr:row>
          <xdr:rowOff>19050</xdr:rowOff>
        </xdr:to>
        <xdr:sp macro="" textlink="">
          <xdr:nvSpPr>
            <xdr:cNvPr id="1028" name="btFecharVend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198054</xdr:colOff>
      <xdr:row>0</xdr:row>
      <xdr:rowOff>44779</xdr:rowOff>
    </xdr:from>
    <xdr:to>
      <xdr:col>2</xdr:col>
      <xdr:colOff>1202120</xdr:colOff>
      <xdr:row>1</xdr:row>
      <xdr:rowOff>187655</xdr:rowOff>
    </xdr:to>
    <xdr:sp macro="" textlink="'Info. do caixa atual'!I1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8054" y="44779"/>
          <a:ext cx="2493032" cy="328997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4211C28D-B355-49E4-9B62-0B53167DC162}" type="TxLink">
            <a:rPr lang="en-US" sz="2000" b="1" i="0" u="none" strike="noStrike">
              <a:solidFill>
                <a:schemeClr val="tx2"/>
              </a:solidFill>
              <a:latin typeface="Calibri"/>
              <a:cs typeface="Calibri"/>
            </a:rPr>
            <a:pPr algn="l"/>
            <a:t>CAIXA FECHADO</a:t>
          </a:fld>
          <a:endParaRPr lang="en-US" sz="2000" b="1">
            <a:solidFill>
              <a:schemeClr val="tx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57150</xdr:rowOff>
        </xdr:from>
        <xdr:to>
          <xdr:col>10</xdr:col>
          <xdr:colOff>419100</xdr:colOff>
          <xdr:row>1</xdr:row>
          <xdr:rowOff>104775</xdr:rowOff>
        </xdr:to>
        <xdr:sp macro="" textlink="">
          <xdr:nvSpPr>
            <xdr:cNvPr id="1029" name="AbrirFecharCaix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0</xdr:row>
          <xdr:rowOff>57150</xdr:rowOff>
        </xdr:from>
        <xdr:to>
          <xdr:col>8</xdr:col>
          <xdr:colOff>600075</xdr:colOff>
          <xdr:row>1</xdr:row>
          <xdr:rowOff>104775</xdr:rowOff>
        </xdr:to>
        <xdr:sp macro="" textlink="">
          <xdr:nvSpPr>
            <xdr:cNvPr id="1030" name="RegEntradaSaid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6</xdr:col>
          <xdr:colOff>419100</xdr:colOff>
          <xdr:row>1</xdr:row>
          <xdr:rowOff>104775</xdr:rowOff>
        </xdr:to>
        <xdr:sp macro="" textlink="">
          <xdr:nvSpPr>
            <xdr:cNvPr id="1032" name="NovoProdut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476250</xdr:colOff>
          <xdr:row>0</xdr:row>
          <xdr:rowOff>57150</xdr:rowOff>
        </xdr:from>
        <xdr:to>
          <xdr:col>12</xdr:col>
          <xdr:colOff>0</xdr:colOff>
          <xdr:row>1</xdr:row>
          <xdr:rowOff>104775</xdr:rowOff>
        </xdr:to>
        <xdr:sp macro="" textlink="">
          <xdr:nvSpPr>
            <xdr:cNvPr id="1035" name="HideShowMenu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63943</xdr:colOff>
      <xdr:row>9</xdr:row>
      <xdr:rowOff>96030</xdr:rowOff>
    </xdr:from>
    <xdr:to>
      <xdr:col>11</xdr:col>
      <xdr:colOff>621149</xdr:colOff>
      <xdr:row>10</xdr:row>
      <xdr:rowOff>173011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322118" y="1277130"/>
          <a:ext cx="3605206" cy="267481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t>Nome do produto</a:t>
          </a:r>
        </a:p>
      </xdr:txBody>
    </xdr:sp>
    <xdr:clientData/>
  </xdr:twoCellAnchor>
  <xdr:twoCellAnchor editAs="absolute">
    <xdr:from>
      <xdr:col>6</xdr:col>
      <xdr:colOff>68784</xdr:colOff>
      <xdr:row>6</xdr:row>
      <xdr:rowOff>100074</xdr:rowOff>
    </xdr:from>
    <xdr:to>
      <xdr:col>10</xdr:col>
      <xdr:colOff>454547</xdr:colOff>
      <xdr:row>7</xdr:row>
      <xdr:rowOff>84079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8326959" y="709674"/>
          <a:ext cx="2824163" cy="17450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tx2"/>
              </a:solidFill>
              <a:latin typeface="Calibri"/>
              <a:cs typeface="Calibri"/>
            </a:rPr>
            <a:t>Código de barras</a:t>
          </a:r>
        </a:p>
      </xdr:txBody>
    </xdr:sp>
    <xdr:clientData/>
  </xdr:twoCellAnchor>
  <xdr:twoCellAnchor editAs="absolute">
    <xdr:from>
      <xdr:col>6</xdr:col>
      <xdr:colOff>63943</xdr:colOff>
      <xdr:row>11</xdr:row>
      <xdr:rowOff>19392</xdr:rowOff>
    </xdr:from>
    <xdr:to>
      <xdr:col>11</xdr:col>
      <xdr:colOff>621149</xdr:colOff>
      <xdr:row>13</xdr:row>
      <xdr:rowOff>131379</xdr:rowOff>
    </xdr:to>
    <xdr:sp macro="" textlink="$C$4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8322118" y="1581492"/>
          <a:ext cx="3605206" cy="49298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A8F9AD-142E-4BCE-8B70-1D2D146D7D3A}" type="TxLink">
            <a:rPr lang="en-US" sz="1800" b="1" i="0" u="none" strike="noStrike">
              <a:solidFill>
                <a:schemeClr val="tx2"/>
              </a:solidFill>
              <a:latin typeface="Calibri"/>
              <a:cs typeface="Calibri"/>
            </a:rPr>
            <a:pPr algn="ctr"/>
            <a:t>teste</a:t>
          </a:fld>
          <a:endParaRPr lang="en-US" sz="3200" b="1" i="0" u="none" strike="noStrike">
            <a:solidFill>
              <a:schemeClr val="tx2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0</xdr:row>
          <xdr:rowOff>66675</xdr:rowOff>
        </xdr:from>
        <xdr:to>
          <xdr:col>5</xdr:col>
          <xdr:colOff>581025</xdr:colOff>
          <xdr:row>1</xdr:row>
          <xdr:rowOff>114300</xdr:rowOff>
        </xdr:to>
        <xdr:sp macro="" textlink="">
          <xdr:nvSpPr>
            <xdr:cNvPr id="1036" name="btProcurarProduto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3848100</xdr:colOff>
          <xdr:row>0</xdr:row>
          <xdr:rowOff>76200</xdr:rowOff>
        </xdr:from>
        <xdr:to>
          <xdr:col>4</xdr:col>
          <xdr:colOff>342900</xdr:colOff>
          <xdr:row>1</xdr:row>
          <xdr:rowOff>123825</xdr:rowOff>
        </xdr:to>
        <xdr:sp macro="" textlink="">
          <xdr:nvSpPr>
            <xdr:cNvPr id="1037" name="btCancelar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</xdr:row>
          <xdr:rowOff>57150</xdr:rowOff>
        </xdr:from>
        <xdr:to>
          <xdr:col>0</xdr:col>
          <xdr:colOff>1123950</xdr:colOff>
          <xdr:row>3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tabela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190500</xdr:colOff>
      <xdr:row>1</xdr:row>
      <xdr:rowOff>9525</xdr:rowOff>
    </xdr:from>
    <xdr:to>
      <xdr:col>16</xdr:col>
      <xdr:colOff>419100</xdr:colOff>
      <xdr:row>15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fael oliveira luna" refreshedDate="45075.986275000003" backgroundQuery="1" createdVersion="8" refreshedVersion="8" minRefreshableVersion="3" recordCount="0" supportSubquery="1" supportAdvancedDrill="1" xr:uid="{99B78F21-CF4E-4564-A0DB-B79D6621347D}">
  <cacheSource type="external" connectionId="1"/>
  <cacheFields count="5">
    <cacheField name="[tabVendas].[Data (Dia)].[Data (Dia)]" caption="Data (Dia)" numFmtId="0" hierarchy="12" level="1">
      <sharedItems count="1">
        <s v="29-mai"/>
      </sharedItems>
    </cacheField>
    <cacheField name="[tabVendas].[Data (Mês)].[Data (Mês)]" caption="Data (Mês)" numFmtId="0" hierarchy="11" level="1">
      <sharedItems count="1">
        <s v="mai"/>
      </sharedItems>
    </cacheField>
    <cacheField name="[tabVendas].[Data (Ano)].[Data (Ano)]" caption="Data (Ano)" numFmtId="0" hierarchy="10" level="1">
      <sharedItems count="1">
        <s v="2023"/>
      </sharedItems>
    </cacheField>
    <cacheField name="[tabVendas].[# Pedido].[# Pedido]" caption="# Pedido" numFmtId="0" level="1">
      <sharedItems containsSemiMixedTypes="0" containsNonDate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tabVendas].[# Pedido].&amp;[1]"/>
          </x15:cachedUniqueNames>
        </ext>
      </extLst>
    </cacheField>
    <cacheField name="[Measures].[Soma de Valor total]" caption="Soma de Valor total" numFmtId="0" hierarchy="17" level="32767"/>
  </cacheFields>
  <cacheHierarchies count="18">
    <cacheHierarchy uniqueName="[tabVendas].[# Pedido]" caption="# Pedido" attribute="1" defaultMemberUniqueName="[tabVendas].[# Pedido].[All]" allUniqueName="[tabVendas].[# Pedido].[All]" dimensionUniqueName="[tabVendas]" displayFolder="" count="2" memberValueDatatype="20" unbalanced="0">
      <fieldsUsage count="2">
        <fieldUsage x="-1"/>
        <fieldUsage x="3"/>
      </fieldsUsage>
    </cacheHierarchy>
    <cacheHierarchy uniqueName="[tabVendas].[Data]" caption="Data" attribute="1" time="1" defaultMemberUniqueName="[tabVendas].[Data].[All]" allUniqueName="[tabVendas].[Data].[All]" dimensionUniqueName="[tabVendas]" displayFolder="" count="0" memberValueDatatype="7" unbalanced="0"/>
    <cacheHierarchy uniqueName="[tabVendas].[Código]" caption="Código" attribute="1" defaultMemberUniqueName="[tabVendas].[Código].[All]" allUniqueName="[tabVendas].[Código].[All]" dimensionUniqueName="[tabVendas]" displayFolder="" count="0" memberValueDatatype="20" unbalanced="0"/>
    <cacheHierarchy uniqueName="[tabVendas].[Produto]" caption="Produto" attribute="1" defaultMemberUniqueName="[tabVendas].[Produto].[All]" allUniqueName="[tabVendas].[Produto].[All]" dimensionUniqueName="[tabVendas]" displayFolder="" count="0" memberValueDatatype="130" unbalanced="0"/>
    <cacheHierarchy uniqueName="[tabVendas].[Qnt.]" caption="Qnt." attribute="1" defaultMemberUniqueName="[tabVendas].[Qnt.].[All]" allUniqueName="[tabVendas].[Qnt.].[All]" dimensionUniqueName="[tabVendas]" displayFolder="" count="0" memberValueDatatype="20" unbalanced="0"/>
    <cacheHierarchy uniqueName="[tabVendas].[Valor Unitario]" caption="Valor Unitario" attribute="1" defaultMemberUniqueName="[tabVendas].[Valor Unitario].[All]" allUniqueName="[tabVendas].[Valor Unitario].[All]" dimensionUniqueName="[tabVendas]" displayFolder="" count="0" memberValueDatatype="5" unbalanced="0"/>
    <cacheHierarchy uniqueName="[tabVendas].[Valor total]" caption="Valor total" attribute="1" defaultMemberUniqueName="[tabVendas].[Valor total].[All]" allUniqueName="[tabVendas].[Valor total].[All]" dimensionUniqueName="[tabVendas]" displayFolder="" count="0" memberValueDatatype="5" unbalanced="0"/>
    <cacheHierarchy uniqueName="[tabVendas].[Data (Hora)]" caption="Data (Hora)" attribute="1" defaultMemberUniqueName="[tabVendas].[Data (Hora)].[All]" allUniqueName="[tabVendas].[Data (Hora)].[All]" dimensionUniqueName="[tabVendas]" displayFolder="" count="0" memberValueDatatype="130" unbalanced="0"/>
    <cacheHierarchy uniqueName="[tabVendas].[Data (Minuto)]" caption="Data (Minuto)" attribute="1" defaultMemberUniqueName="[tabVendas].[Data (Minuto)].[All]" allUniqueName="[tabVendas].[Data (Minuto)].[All]" dimensionUniqueName="[tabVendas]" displayFolder="" count="0" memberValueDatatype="130" unbalanced="0"/>
    <cacheHierarchy uniqueName="[tabVendas].[Data (Segundo)]" caption="Data (Segundo)" attribute="1" defaultMemberUniqueName="[tabVendas].[Data (Segundo)].[All]" allUniqueName="[tabVendas].[Data (Segundo)].[All]" dimensionUniqueName="[tabVendas]" displayFolder="" count="0" memberValueDatatype="130" unbalanced="0"/>
    <cacheHierarchy uniqueName="[tabVendas].[Data (Ano)]" caption="Data (Ano)" attribute="1" defaultMemberUniqueName="[tabVendas].[Data (Ano)].[All]" allUniqueName="[tabVendas].[Data (Ano)].[All]" dimensionUniqueName="[tabVendas]" displayFolder="" count="2" memberValueDatatype="130" unbalanced="0">
      <fieldsUsage count="2">
        <fieldUsage x="-1"/>
        <fieldUsage x="2"/>
      </fieldsUsage>
    </cacheHierarchy>
    <cacheHierarchy uniqueName="[tabVendas].[Data (Mês)]" caption="Data (Mês)" attribute="1" defaultMemberUniqueName="[tabVendas].[Data (Mês)].[All]" allUniqueName="[tabVendas].[Data (Mês)].[All]" dimensionUniqueName="[tabVendas]" displayFolder="" count="2" memberValueDatatype="130" unbalanced="0">
      <fieldsUsage count="2">
        <fieldUsage x="-1"/>
        <fieldUsage x="1"/>
      </fieldsUsage>
    </cacheHierarchy>
    <cacheHierarchy uniqueName="[tabVendas].[Data (Dia)]" caption="Data (Dia)" attribute="1" defaultMemberUniqueName="[tabVendas].[Data (Dia)].[All]" allUniqueName="[tabVendas].[Data (Dia)].[All]" dimensionUniqueName="[tabVendas]" displayFolder="" count="2" memberValueDatatype="130" unbalanced="0">
      <fieldsUsage count="2">
        <fieldUsage x="-1"/>
        <fieldUsage x="0"/>
      </fieldsUsage>
    </cacheHierarchy>
    <cacheHierarchy uniqueName="[tabVendas].[Data (Índice de Dia)]" caption="Data (Índice de Dia)" attribute="1" defaultMemberUniqueName="[tabVendas].[Data (Índice de Dia)].[All]" allUniqueName="[tabVendas].[Data (Índice de Dia)].[All]" dimensionUniqueName="[tabVendas]" displayFolder="" count="0" memberValueDatatype="5" unbalanced="0" hidden="1"/>
    <cacheHierarchy uniqueName="[tabVendas].[Data (Índice de Mês)]" caption="Data (Índice de Mês)" attribute="1" defaultMemberUniqueName="[tabVendas].[Data (Índice de Mês)].[All]" allUniqueName="[tabVendas].[Data (Índice de Mês)].[All]" dimensionUniqueName="[tabVendas]" displayFolder="" count="0" memberValueDatatype="20" unbalanced="0" hidden="1"/>
    <cacheHierarchy uniqueName="[Measures].[__XL_Count tabVendas]" caption="__XL_Count tabVendas" measure="1" displayFolder="" measureGroup="tabVendas" count="0" hidden="1"/>
    <cacheHierarchy uniqueName="[Measures].[__No measures defined]" caption="__No measures defined" measure="1" displayFolder="" count="0" hidden="1"/>
    <cacheHierarchy uniqueName="[Measures].[Soma de Valor total]" caption="Soma de Valor total" measure="1" displayFolder="" measureGroup="tabVend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abVendas" uniqueName="[tabVendas]" caption="tabVendas"/>
  </dimensions>
  <measureGroups count="1">
    <measureGroup name="tabVendas" caption="tabVenda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7E4F1-320F-491E-B076-BE0340C49F68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B2:C6" firstHeaderRow="1" firstDataRow="1" firstDataCol="1"/>
  <pivotFields count="5">
    <pivotField axis="axisRow" allDrilled="1" subtotalTop="0" showAll="0" dataSourceSort="1" defaultSubtotal="0">
      <items count="1">
        <item x="0" e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4">
    <field x="2"/>
    <field x="1"/>
    <field x="0"/>
    <field x="3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Soma de Valor total" fld="4" baseField="0" baseItem="0"/>
  </dataField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15" showRowHeaders="1" showColHeaders="1" showRowStripes="0" showColStripes="0" showLastColumn="1"/>
  <rowHierarchiesUsage count="4">
    <rowHierarchyUsage hierarchyUsage="10"/>
    <rowHierarchyUsage hierarchyUsage="11"/>
    <rowHierarchyUsage hierarchyUsage="1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DV_ADEGA_v1_28.05.2023.xlsm!tabVendas">
        <x15:activeTabTopLevelEntity name="[tab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8C1910-4125-4D89-8815-8E091488B98E}" name="tabPDV" displayName="tabPDV" ref="B6:F212" totalsRowShown="0" headerRowDxfId="45" dataDxfId="44" tableBorderDxfId="43">
  <autoFilter ref="B6:F212" xr:uid="{738C1910-4125-4D89-8815-8E091488B98E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7:F212">
    <sortCondition ref="B7:B212"/>
  </sortState>
  <tableColumns count="5">
    <tableColumn id="1" xr3:uid="{BE8674E0-2851-4126-8979-8BEBD9F0EE89}" name="Código de barra" dataDxfId="42"/>
    <tableColumn id="2" xr3:uid="{FA0AAE06-2807-4F91-A282-1F4569778810}" name="Produto" dataDxfId="41"/>
    <tableColumn id="3" xr3:uid="{F37E3894-927F-4225-A76B-B0D4683C3FE8}" name="Quantidade" dataDxfId="40"/>
    <tableColumn id="4" xr3:uid="{E96B93FA-7984-45B1-BDB7-EB0707E223C4}" name="Valor unitáiro" dataDxfId="39" dataCellStyle="Moeda"/>
    <tableColumn id="5" xr3:uid="{051728CF-1896-4A06-ADC1-39D647487A13}" name="Valor total" dataDxfId="38" dataCellStyle="Moed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E4B260-C42A-4105-ADC4-6AD42D9E37A3}" name="Tabela5" displayName="Tabela5" ref="A1:H4">
  <autoFilter ref="A1:H4" xr:uid="{8BE4B260-C42A-4105-ADC4-6AD42D9E37A3}"/>
  <tableColumns count="8">
    <tableColumn id="1" xr3:uid="{F3A801DB-B643-4BE7-800F-77AA41415808}" name="# Pedido" totalsRowLabel="Total"/>
    <tableColumn id="2" xr3:uid="{FE9190B2-40D6-43CC-BAF3-CD422468BD90}" name="Total da Venda" totalsRowDxfId="35" dataCellStyle="Moeda"/>
    <tableColumn id="3" xr3:uid="{350E3593-E5BD-4774-BF90-045F2BA0F8C9}" name="Vl. Dinheiro" dataDxfId="34" totalsRowDxfId="33" dataCellStyle="Moeda"/>
    <tableColumn id="4" xr3:uid="{F63CA216-2A32-4528-8B53-82D730FCB74F}" name="Vl. Débito" dataDxfId="32" totalsRowDxfId="31" dataCellStyle="Moeda"/>
    <tableColumn id="5" xr3:uid="{7FAA9210-CD02-4B6A-BC2C-3AAB3E069C5E}" name="Vl. Crédito" dataDxfId="30" totalsRowDxfId="29" dataCellStyle="Moeda"/>
    <tableColumn id="6" xr3:uid="{D9CA467E-D08A-41E2-8429-C9C89203E7F4}" name="Vl. VR" dataDxfId="28" totalsRowDxfId="27" dataCellStyle="Moeda"/>
    <tableColumn id="7" xr3:uid="{C600623F-8265-4D52-96CB-9DD7DF42BEF6}" name="Vl. Pix" dataDxfId="26" totalsRowDxfId="25" dataCellStyle="Moeda"/>
    <tableColumn id="9" xr3:uid="{DF14FD85-FE5F-47F9-8C9B-8B76A8E1A2A3}" name="Está no caixa atual?" totalsRowFunction="count" dataDxfId="24" totalsRowDxfId="23" dataCellStyle="Moeda">
      <calculatedColumnFormula>IF(ISNA(VLOOKUP(Tabela5[[#This Row],['# Pedido]],'Info. do caixa atual'!$D:$D,1,FALSE)),"Não","Sim")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47DB59-0B7D-44DF-92FD-76E78A9C901A}" name="tabVendas" displayName="tabVendas" ref="A1:G10" totalsRowShown="0">
  <autoFilter ref="A1:G10" xr:uid="{0547DB59-0B7D-44DF-92FD-76E78A9C901A}"/>
  <tableColumns count="7">
    <tableColumn id="1" xr3:uid="{74EC3FF2-5398-4322-BAB8-1E00F75BD2EA}" name="# Pedido"/>
    <tableColumn id="2" xr3:uid="{671F2CA4-6BBE-4B7D-96A4-9BC3D3E0A029}" name="Data" dataDxfId="22"/>
    <tableColumn id="8" xr3:uid="{7D297C63-F9AA-4308-A26B-107E0EA307F6}" name="Código" dataDxfId="21"/>
    <tableColumn id="3" xr3:uid="{ABA14A9A-8AD9-4867-A5AF-01870EA96A5D}" name="Produto"/>
    <tableColumn id="4" xr3:uid="{60CABD0C-120C-4574-B076-6C00C7776132}" name="Qnt."/>
    <tableColumn id="5" xr3:uid="{2AE9B9C1-8D65-4892-ABDE-B726B34873AB}" name="Valor Unitario" dataCellStyle="Moeda"/>
    <tableColumn id="6" xr3:uid="{49D91041-6F7A-4D99-9C25-DE8EB418381B}" name="Valor total" dataCellStyle="Moe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95AB18-CD8E-4CF6-B636-1FA2D40A2E60}" name="Tabela6" displayName="Tabela6" ref="A1:O2" totalsRowShown="0">
  <autoFilter ref="A1:O2" xr:uid="{4495AB18-CD8E-4CF6-B636-1FA2D40A2E60}"/>
  <tableColumns count="15">
    <tableColumn id="1" xr3:uid="{6FA8BAFA-43DB-4C9D-AC2F-29097010A337}" name="Responsável"/>
    <tableColumn id="16" xr3:uid="{0A9C9E2B-DE79-4C26-B070-B584474EB83C}" name="Total vendido (Geral)" dataCellStyle="Moeda"/>
    <tableColumn id="17" xr3:uid="{51046CCE-0869-4C10-BEA0-56CB1554693E}" name="Variação do caixa" dataDxfId="0" dataCellStyle="Moeda"/>
    <tableColumn id="3" xr3:uid="{311983A4-21EF-48B1-8642-03ACEF1F0E93}" name="Data Abertura" dataDxfId="1" dataCellStyle="Moeda"/>
    <tableColumn id="4" xr3:uid="{9F9BA646-735A-48D8-88EC-688AF066D8EA}" name="Data Fechamento" dataDxfId="20" dataCellStyle="Moeda"/>
    <tableColumn id="2" xr3:uid="{C3277777-09B8-4AFF-8F61-81B74D11D3FD}" name="Fundo de caixa" dataDxfId="19" dataCellStyle="Moeda"/>
    <tableColumn id="8" xr3:uid="{39ED3106-03DB-44E4-B7FC-A727E045F432}" name="Vl. Fechamento" dataDxfId="18" dataCellStyle="Moeda"/>
    <tableColumn id="9" xr3:uid="{8A79B70D-D6E8-4661-A716-4438C8EB17FF}" name="Vl. Fechamento (Real)" dataDxfId="17" dataCellStyle="Moeda"/>
    <tableColumn id="10" xr3:uid="{1BF3B100-2C2F-46DB-8191-AC0338977CF0}" name="Vendas em Dinheiro" dataDxfId="16" dataCellStyle="Moeda"/>
    <tableColumn id="11" xr3:uid="{50220276-361F-45D3-9C2C-EC5E38E3E05E}" name="Vendas em Débito" dataDxfId="15" dataCellStyle="Moeda"/>
    <tableColumn id="12" xr3:uid="{F73FB641-92DC-47FB-B011-4D8AB089F28E}" name="Vendas em Crédito" dataDxfId="14" dataCellStyle="Moeda"/>
    <tableColumn id="13" xr3:uid="{237955D8-0E50-42A9-87AA-E0A3AE3D2DA4}" name="Vendas em VR" dataDxfId="13" dataCellStyle="Moeda"/>
    <tableColumn id="14" xr3:uid="{1C6EC47A-3F16-41DA-869B-BAED8B0ED9DA}" name="Vendas em Pix" dataDxfId="12" dataCellStyle="Moeda"/>
    <tableColumn id="6" xr3:uid="{7687E63A-D62F-4059-B115-C96043A8D927}" name="Entradas" dataCellStyle="Moeda"/>
    <tableColumn id="7" xr3:uid="{3A3CE598-8212-443C-9D2E-446B29394817}" name="Saídas" dataCellStyle="Moeda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4C9BC1-EA1A-4327-8176-F19C34B4217F}" name="Tabela2" displayName="Tabela2" ref="A1:D3" totalsRowShown="0">
  <autoFilter ref="A1:D3" xr:uid="{3D4C9BC1-EA1A-4327-8176-F19C34B4217F}"/>
  <tableColumns count="4">
    <tableColumn id="1" xr3:uid="{57739384-A610-4D7F-8E8D-019E67D7B82A}" name="Data e hora"/>
    <tableColumn id="4" xr3:uid="{173A68B0-3C03-41B6-96A2-38B6FF03FEF3}" name="Tipo"/>
    <tableColumn id="2" xr3:uid="{474C128F-6E77-4D5D-B3C7-F4D584326EF1}" name="Descrição"/>
    <tableColumn id="3" xr3:uid="{094E4E04-122D-4189-B970-4D8A5D317C4D}" name="Valor" dataCellStyle="Moeda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B61315-EFEF-41DC-A9A2-F19E5F67A434}" name="tabProdutos" displayName="tabProdutos" ref="A1:J14" totalsRowShown="0">
  <autoFilter ref="A1:J14" xr:uid="{2EB61315-EFEF-41DC-A9A2-F19E5F67A434}"/>
  <tableColumns count="10">
    <tableColumn id="1" xr3:uid="{D4717945-B972-420F-8AC8-DE050BAF6EC0}" name="Código" dataDxfId="5"/>
    <tableColumn id="2" xr3:uid="{7028D7BF-171C-4B4E-9556-918A8D40FA5C}" name="Descrição"/>
    <tableColumn id="7" xr3:uid="{57787B11-0AF4-4766-AA2B-EB0E0CD2E037}" name="Custo" dataCellStyle="Moeda"/>
    <tableColumn id="3" xr3:uid="{AC5E2DA8-7A0E-4024-B363-D334314ED99B}" name="Valor de venda" dataCellStyle="Moeda"/>
    <tableColumn id="4" xr3:uid="{D330BB4D-11DD-4571-983C-181B2B4E56C8}" name="Estoque inicial"/>
    <tableColumn id="5" xr3:uid="{D26C4F97-ED53-46BA-A297-5BA3768FCB65}" name="Unidades vendidas" dataDxfId="4">
      <calculatedColumnFormula>SUMIF(tabVendas[Código],tabProdutos[[#This Row],[Código]],tabVendas[Qnt.])</calculatedColumnFormula>
    </tableColumn>
    <tableColumn id="6" xr3:uid="{6D339ECE-4553-4F74-8467-785771709F89}" name="Estoque atual" dataDxfId="3">
      <calculatedColumnFormula>tabProdutos[[#This Row],[Estoque inicial]]-tabProdutos[[#This Row],[Unidades vendidas]]+SUMIF(Tabela7[Cód. Do produto],tabProdutos[[#This Row],[Código]],Tabela7[Qnt.])</calculatedColumnFormula>
    </tableColumn>
    <tableColumn id="8" xr3:uid="{4A862089-2D36-4579-9ECD-59467637C113}" name="Estoque mínimo"/>
    <tableColumn id="11" xr3:uid="{A898C9C0-8B8F-4F62-9BEB-0091FEF1989C}" name="Margem de segurança"/>
    <tableColumn id="9" xr3:uid="{EF393D43-49F9-48B4-B119-D87D03FFA992}" name="Status" dataDxfId="2">
      <calculatedColumnFormula array="1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776DA9-5EE8-4FC8-ADB1-09F9E5DFE56B}" name="Tabela7" displayName="Tabela7" ref="A1:F4" totalsRowShown="0">
  <autoFilter ref="A1:F4" xr:uid="{2C776DA9-5EE8-4FC8-ADB1-09F9E5DFE56B}"/>
  <tableColumns count="6">
    <tableColumn id="1" xr3:uid="{A25F51E3-FE33-4591-9D2D-F5EB46E45C2F}" name="Fornecedor"/>
    <tableColumn id="2" xr3:uid="{586B5C9E-3F6B-4EB0-8D98-6DFC34A2ABDD}" name="Data da compra"/>
    <tableColumn id="3" xr3:uid="{3976A2B9-D8F4-4C2A-8872-C6EE6C80E011}" name="Cód. Do produto"/>
    <tableColumn id="4" xr3:uid="{0102FDE8-74AD-425B-8177-F51FE704C3FC}" name="Desc. Do produto"/>
    <tableColumn id="5" xr3:uid="{9A00DE46-1F87-4D16-8944-88D12BF0E2D1}" name="Qnt."/>
    <tableColumn id="6" xr3:uid="{CA252088-0B12-4597-9607-27F8D819092A}" name="Vl. De cus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table" Target="../tables/table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53B2-1A11-4170-944E-8DA658E308C8}">
  <sheetPr codeName="Planilha5">
    <tabColor theme="3"/>
  </sheetPr>
  <dimension ref="A1:P15"/>
  <sheetViews>
    <sheetView topLeftCell="C1" workbookViewId="0">
      <selection activeCell="K2" sqref="K2"/>
    </sheetView>
  </sheetViews>
  <sheetFormatPr defaultRowHeight="15" x14ac:dyDescent="0.25"/>
  <cols>
    <col min="1" max="1" width="24.140625" bestFit="1" customWidth="1"/>
    <col min="2" max="2" width="15.85546875" bestFit="1" customWidth="1"/>
    <col min="3" max="3" width="2.42578125" style="5" customWidth="1"/>
    <col min="4" max="4" width="14.140625" style="13" bestFit="1" customWidth="1"/>
    <col min="5" max="5" width="2.42578125" style="5" customWidth="1"/>
    <col min="6" max="6" width="13.28515625" bestFit="1" customWidth="1"/>
    <col min="7" max="7" width="12.140625" customWidth="1"/>
    <col min="8" max="8" width="2.42578125" style="5" customWidth="1"/>
    <col min="9" max="9" width="14" bestFit="1" customWidth="1"/>
    <col min="10" max="10" width="2.42578125" style="5" customWidth="1"/>
    <col min="11" max="11" width="17.85546875" bestFit="1" customWidth="1"/>
    <col min="12" max="12" width="22.85546875" bestFit="1" customWidth="1"/>
    <col min="13" max="13" width="12.140625" bestFit="1" customWidth="1"/>
    <col min="15" max="15" width="14" bestFit="1" customWidth="1"/>
    <col min="16" max="16" width="9.5703125" bestFit="1" customWidth="1"/>
  </cols>
  <sheetData>
    <row r="1" spans="1:16" x14ac:dyDescent="0.25">
      <c r="A1" t="s">
        <v>15</v>
      </c>
      <c r="D1" s="13" t="s">
        <v>29</v>
      </c>
      <c r="F1" t="s">
        <v>26</v>
      </c>
      <c r="G1" t="s">
        <v>9</v>
      </c>
      <c r="I1" t="str">
        <f>IF(I2,"CAIXA ABERTO","CAIXA FECHADO")</f>
        <v>CAIXA FECHADO</v>
      </c>
      <c r="K1" t="s">
        <v>37</v>
      </c>
      <c r="L1" t="s">
        <v>36</v>
      </c>
      <c r="M1" t="s">
        <v>38</v>
      </c>
      <c r="O1" t="s">
        <v>48</v>
      </c>
      <c r="P1" s="20">
        <f>SUM(P2:P6)</f>
        <v>0</v>
      </c>
    </row>
    <row r="2" spans="1:16" x14ac:dyDescent="0.25">
      <c r="A2" s="14" t="s">
        <v>54</v>
      </c>
      <c r="B2" s="21">
        <f>SUM(B9:B13)</f>
        <v>0</v>
      </c>
      <c r="I2" t="b">
        <v>0</v>
      </c>
      <c r="M2" s="20">
        <f>PDV!I5-SUM(K:K)</f>
        <v>0</v>
      </c>
      <c r="O2" t="s">
        <v>30</v>
      </c>
      <c r="P2" s="1">
        <f>IF(SUMIF(L:L,O2,K:K)+M2&gt;0,SUMIF(L:L,O2,K:K)+M2,0)</f>
        <v>0</v>
      </c>
    </row>
    <row r="3" spans="1:16" x14ac:dyDescent="0.25">
      <c r="A3" t="s">
        <v>55</v>
      </c>
      <c r="B3" s="21">
        <f>B8-B7</f>
        <v>0</v>
      </c>
      <c r="O3" t="s">
        <v>31</v>
      </c>
      <c r="P3" s="1">
        <f>SUMIF(L:L,O3,K:K)</f>
        <v>0</v>
      </c>
    </row>
    <row r="4" spans="1:16" x14ac:dyDescent="0.25">
      <c r="A4" t="s">
        <v>17</v>
      </c>
      <c r="B4" s="14"/>
      <c r="O4" t="s">
        <v>41</v>
      </c>
      <c r="P4" s="1">
        <f>SUMIF(L:L,O4,K:K)</f>
        <v>0</v>
      </c>
    </row>
    <row r="5" spans="1:16" x14ac:dyDescent="0.25">
      <c r="A5" t="s">
        <v>18</v>
      </c>
      <c r="B5" s="29"/>
      <c r="O5" t="s">
        <v>40</v>
      </c>
      <c r="P5" s="1">
        <f>SUMIF(L:L,O5,K:K)</f>
        <v>0</v>
      </c>
    </row>
    <row r="6" spans="1:16" x14ac:dyDescent="0.25">
      <c r="A6" t="s">
        <v>16</v>
      </c>
      <c r="B6" s="1"/>
      <c r="O6" t="s">
        <v>39</v>
      </c>
      <c r="P6" s="1">
        <f>SUMIF(L:L,O6,K:K)</f>
        <v>0</v>
      </c>
    </row>
    <row r="7" spans="1:16" x14ac:dyDescent="0.25">
      <c r="A7" t="s">
        <v>21</v>
      </c>
      <c r="B7" s="21">
        <f>SUM(B6,B9,B14)-B15</f>
        <v>0</v>
      </c>
    </row>
    <row r="8" spans="1:16" x14ac:dyDescent="0.25">
      <c r="A8" t="s">
        <v>22</v>
      </c>
      <c r="B8" s="1"/>
    </row>
    <row r="9" spans="1:16" x14ac:dyDescent="0.25">
      <c r="A9" t="s">
        <v>49</v>
      </c>
      <c r="B9" s="21">
        <f>SUMIF(Tabela5[Está no caixa atual?],"Sim",Tabela5[Vl. Dinheiro])</f>
        <v>0</v>
      </c>
    </row>
    <row r="10" spans="1:16" x14ac:dyDescent="0.25">
      <c r="A10" t="s">
        <v>50</v>
      </c>
      <c r="B10" s="21">
        <f>SUMIF(Tabela5[Está no caixa atual?],"Sim",Tabela5[Vl. Débito])</f>
        <v>0</v>
      </c>
    </row>
    <row r="11" spans="1:16" x14ac:dyDescent="0.25">
      <c r="A11" t="s">
        <v>51</v>
      </c>
      <c r="B11" s="21">
        <f>SUMIF(Tabela5[Está no caixa atual?],"Sim",Tabela5[Vl. Crédito])</f>
        <v>0</v>
      </c>
    </row>
    <row r="12" spans="1:16" x14ac:dyDescent="0.25">
      <c r="A12" t="s">
        <v>52</v>
      </c>
      <c r="B12" s="21">
        <f>SUMIF(Tabela5[Está no caixa atual?],"Sim",Tabela5[Vl. VR])</f>
        <v>0</v>
      </c>
    </row>
    <row r="13" spans="1:16" x14ac:dyDescent="0.25">
      <c r="A13" t="s">
        <v>53</v>
      </c>
      <c r="B13" s="21">
        <f>SUMIF(Tabela5[Está no caixa atual?],"Sim",Tabela5[Vl. Pix])</f>
        <v>0</v>
      </c>
    </row>
    <row r="14" spans="1:16" x14ac:dyDescent="0.25">
      <c r="A14" t="s">
        <v>19</v>
      </c>
      <c r="B14" s="21">
        <f>SUMIF(F:F,"Entrada",G:G)</f>
        <v>0</v>
      </c>
    </row>
    <row r="15" spans="1:16" x14ac:dyDescent="0.25">
      <c r="A15" t="s">
        <v>20</v>
      </c>
      <c r="B15" s="21">
        <f>SUMIF(F:F,"Saída",G:G)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9C46B-0234-4427-BCCC-8F7FA2E9206B}">
  <sheetPr codeName="Planilha1">
    <tabColor theme="3"/>
  </sheetPr>
  <dimension ref="A2:L212"/>
  <sheetViews>
    <sheetView showGridLines="0" showRowColHeaders="0" zoomScaleNormal="100" workbookViewId="0">
      <selection activeCell="C8" sqref="C8"/>
    </sheetView>
  </sheetViews>
  <sheetFormatPr defaultColWidth="0" defaultRowHeight="15" x14ac:dyDescent="0.25"/>
  <cols>
    <col min="1" max="1" width="4" bestFit="1" customWidth="1"/>
    <col min="2" max="2" width="18.42578125" customWidth="1"/>
    <col min="3" max="3" width="59.42578125" customWidth="1"/>
    <col min="4" max="4" width="11.42578125" customWidth="1"/>
    <col min="5" max="6" width="15.28515625" customWidth="1"/>
    <col min="7" max="11" width="9.140625" customWidth="1"/>
    <col min="12" max="12" width="10.5703125" customWidth="1"/>
    <col min="13" max="16384" width="9.140625" hidden="1"/>
  </cols>
  <sheetData>
    <row r="2" spans="1:12" ht="18" customHeight="1" x14ac:dyDescent="0.25"/>
    <row r="3" spans="1:12" hidden="1" x14ac:dyDescent="0.25"/>
    <row r="4" spans="1:12" hidden="1" x14ac:dyDescent="0.25">
      <c r="C4" t="s">
        <v>93</v>
      </c>
    </row>
    <row r="5" spans="1:12" hidden="1" x14ac:dyDescent="0.25">
      <c r="A5" s="5">
        <f>IF(SUM(tabVendas['# Pedido])=0,1,LARGE(tabVendas['# Pedido],1)+1)</f>
        <v>5</v>
      </c>
      <c r="C5" t="str">
        <f>C3 &amp; IFERROR(VLOOKUP(TEXT(B5,"0"),tabProdutos[],2,FALSE),"")</f>
        <v/>
      </c>
      <c r="E5" t="str">
        <f>IFERROR(VLOOKUP(TEXT(B5,"0"),tabProdutos[],4,FALSE),"")</f>
        <v/>
      </c>
      <c r="F5" t="str">
        <f>IFERROR(E5*D5,"")</f>
        <v/>
      </c>
      <c r="H5" t="s">
        <v>12</v>
      </c>
      <c r="I5" s="1">
        <f>SUM(tabPDV[Valor total])</f>
        <v>0</v>
      </c>
      <c r="K5" t="s">
        <v>28</v>
      </c>
      <c r="L5" t="b">
        <v>1</v>
      </c>
    </row>
    <row r="6" spans="1:12" x14ac:dyDescent="0.25">
      <c r="B6" s="2" t="s">
        <v>14</v>
      </c>
      <c r="C6" s="2" t="s">
        <v>2</v>
      </c>
      <c r="D6" s="2" t="s">
        <v>10</v>
      </c>
      <c r="E6" s="10" t="s">
        <v>11</v>
      </c>
      <c r="F6" s="10" t="s">
        <v>5</v>
      </c>
    </row>
    <row r="7" spans="1:12" x14ac:dyDescent="0.25">
      <c r="B7" s="6"/>
      <c r="C7" s="3"/>
      <c r="D7" s="11"/>
      <c r="E7" s="8"/>
      <c r="F7" s="8"/>
    </row>
    <row r="8" spans="1:12" x14ac:dyDescent="0.25">
      <c r="B8" s="6"/>
      <c r="C8" s="3"/>
      <c r="D8" s="11"/>
      <c r="E8" s="8"/>
      <c r="F8" s="8"/>
    </row>
    <row r="9" spans="1:12" x14ac:dyDescent="0.25">
      <c r="B9" s="6"/>
      <c r="C9" s="3"/>
      <c r="D9" s="11"/>
      <c r="E9" s="8"/>
      <c r="F9" s="8"/>
    </row>
    <row r="10" spans="1:12" x14ac:dyDescent="0.25">
      <c r="B10" s="6"/>
      <c r="C10" s="3"/>
      <c r="D10" s="11"/>
      <c r="E10" s="8"/>
      <c r="F10" s="8"/>
    </row>
    <row r="11" spans="1:12" x14ac:dyDescent="0.25">
      <c r="B11" s="6"/>
      <c r="C11" s="3"/>
      <c r="D11" s="11"/>
      <c r="E11" s="8"/>
      <c r="F11" s="8"/>
    </row>
    <row r="12" spans="1:12" x14ac:dyDescent="0.25">
      <c r="B12" s="6"/>
      <c r="C12" s="3"/>
      <c r="D12" s="11"/>
      <c r="E12" s="8"/>
      <c r="F12" s="8"/>
    </row>
    <row r="13" spans="1:12" x14ac:dyDescent="0.25">
      <c r="B13" s="6"/>
      <c r="C13" s="3"/>
      <c r="D13" s="11"/>
      <c r="E13" s="8"/>
      <c r="F13" s="8"/>
    </row>
    <row r="14" spans="1:12" x14ac:dyDescent="0.25">
      <c r="B14" s="6"/>
      <c r="C14" s="3"/>
      <c r="D14" s="11"/>
      <c r="E14" s="8"/>
      <c r="F14" s="8"/>
    </row>
    <row r="15" spans="1:12" x14ac:dyDescent="0.25">
      <c r="B15" s="6"/>
      <c r="C15" s="3"/>
      <c r="D15" s="11"/>
      <c r="E15" s="8"/>
      <c r="F15" s="8"/>
    </row>
    <row r="16" spans="1:12" x14ac:dyDescent="0.25">
      <c r="B16" s="6"/>
      <c r="C16" s="3"/>
      <c r="D16" s="11"/>
      <c r="E16" s="8"/>
      <c r="F16" s="8"/>
    </row>
    <row r="17" spans="2:6" x14ac:dyDescent="0.25">
      <c r="B17" s="6"/>
      <c r="C17" s="3"/>
      <c r="D17" s="11"/>
      <c r="E17" s="8"/>
      <c r="F17" s="8"/>
    </row>
    <row r="18" spans="2:6" x14ac:dyDescent="0.25">
      <c r="B18" s="6"/>
      <c r="C18" s="3"/>
      <c r="D18" s="11"/>
      <c r="E18" s="8"/>
      <c r="F18" s="8"/>
    </row>
    <row r="19" spans="2:6" x14ac:dyDescent="0.25">
      <c r="B19" s="6"/>
      <c r="C19" s="3"/>
      <c r="D19" s="11"/>
      <c r="E19" s="8"/>
      <c r="F19" s="8"/>
    </row>
    <row r="20" spans="2:6" x14ac:dyDescent="0.25">
      <c r="B20" s="6"/>
      <c r="C20" s="3"/>
      <c r="D20" s="11"/>
      <c r="E20" s="8"/>
      <c r="F20" s="8"/>
    </row>
    <row r="21" spans="2:6" x14ac:dyDescent="0.25">
      <c r="B21" s="6"/>
      <c r="C21" s="3"/>
      <c r="D21" s="11"/>
      <c r="E21" s="8"/>
      <c r="F21" s="8"/>
    </row>
    <row r="22" spans="2:6" x14ac:dyDescent="0.25">
      <c r="B22" s="6"/>
      <c r="C22" s="3"/>
      <c r="D22" s="11"/>
      <c r="E22" s="8"/>
      <c r="F22" s="8"/>
    </row>
    <row r="23" spans="2:6" x14ac:dyDescent="0.25">
      <c r="B23" s="6"/>
      <c r="C23" s="3"/>
      <c r="D23" s="11"/>
      <c r="E23" s="8"/>
      <c r="F23" s="8"/>
    </row>
    <row r="24" spans="2:6" x14ac:dyDescent="0.25">
      <c r="B24" s="6"/>
      <c r="C24" s="3"/>
      <c r="D24" s="11"/>
      <c r="E24" s="8"/>
      <c r="F24" s="8"/>
    </row>
    <row r="25" spans="2:6" x14ac:dyDescent="0.25">
      <c r="B25" s="6"/>
      <c r="C25" s="3"/>
      <c r="D25" s="11"/>
      <c r="E25" s="8"/>
      <c r="F25" s="8"/>
    </row>
    <row r="26" spans="2:6" x14ac:dyDescent="0.25">
      <c r="B26" s="6"/>
      <c r="C26" s="3"/>
      <c r="D26" s="11"/>
      <c r="E26" s="8"/>
      <c r="F26" s="8"/>
    </row>
    <row r="27" spans="2:6" x14ac:dyDescent="0.25">
      <c r="B27" s="6"/>
      <c r="C27" s="3"/>
      <c r="D27" s="11"/>
      <c r="E27" s="8"/>
      <c r="F27" s="8"/>
    </row>
    <row r="28" spans="2:6" x14ac:dyDescent="0.25">
      <c r="B28" s="6"/>
      <c r="C28" s="3"/>
      <c r="D28" s="11"/>
      <c r="E28" s="8"/>
      <c r="F28" s="8"/>
    </row>
    <row r="29" spans="2:6" x14ac:dyDescent="0.25">
      <c r="B29" s="6"/>
      <c r="C29" s="3"/>
      <c r="D29" s="11"/>
      <c r="E29" s="8"/>
      <c r="F29" s="8"/>
    </row>
    <row r="30" spans="2:6" x14ac:dyDescent="0.25">
      <c r="B30" s="6"/>
      <c r="C30" s="3"/>
      <c r="D30" s="11"/>
      <c r="E30" s="8"/>
      <c r="F30" s="8"/>
    </row>
    <row r="31" spans="2:6" x14ac:dyDescent="0.25">
      <c r="B31" s="6"/>
      <c r="C31" s="3"/>
      <c r="D31" s="11"/>
      <c r="E31" s="8"/>
      <c r="F31" s="8"/>
    </row>
    <row r="32" spans="2:6" x14ac:dyDescent="0.25">
      <c r="B32" s="6"/>
      <c r="C32" s="3"/>
      <c r="D32" s="11"/>
      <c r="E32" s="8"/>
      <c r="F32" s="8"/>
    </row>
    <row r="33" spans="2:6" x14ac:dyDescent="0.25">
      <c r="B33" s="6"/>
      <c r="C33" s="3"/>
      <c r="D33" s="11"/>
      <c r="E33" s="8"/>
      <c r="F33" s="8"/>
    </row>
    <row r="34" spans="2:6" x14ac:dyDescent="0.25">
      <c r="B34" s="6"/>
      <c r="C34" s="3"/>
      <c r="D34" s="11"/>
      <c r="E34" s="8"/>
      <c r="F34" s="8"/>
    </row>
    <row r="35" spans="2:6" x14ac:dyDescent="0.25">
      <c r="B35" s="6"/>
      <c r="C35" s="3"/>
      <c r="D35" s="11"/>
      <c r="E35" s="8"/>
      <c r="F35" s="8"/>
    </row>
    <row r="36" spans="2:6" x14ac:dyDescent="0.25">
      <c r="B36" s="6"/>
      <c r="C36" s="3"/>
      <c r="D36" s="11"/>
      <c r="E36" s="8"/>
      <c r="F36" s="8"/>
    </row>
    <row r="37" spans="2:6" x14ac:dyDescent="0.25">
      <c r="B37" s="6"/>
      <c r="C37" s="3"/>
      <c r="D37" s="11"/>
      <c r="E37" s="8"/>
      <c r="F37" s="8"/>
    </row>
    <row r="38" spans="2:6" x14ac:dyDescent="0.25">
      <c r="B38" s="6"/>
      <c r="C38" s="3"/>
      <c r="D38" s="11"/>
      <c r="E38" s="8"/>
      <c r="F38" s="8"/>
    </row>
    <row r="39" spans="2:6" x14ac:dyDescent="0.25">
      <c r="B39" s="6"/>
      <c r="C39" s="3"/>
      <c r="D39" s="11"/>
      <c r="E39" s="8"/>
      <c r="F39" s="8"/>
    </row>
    <row r="40" spans="2:6" x14ac:dyDescent="0.25">
      <c r="B40" s="6"/>
      <c r="C40" s="3"/>
      <c r="D40" s="11"/>
      <c r="E40" s="8"/>
      <c r="F40" s="8"/>
    </row>
    <row r="41" spans="2:6" x14ac:dyDescent="0.25">
      <c r="B41" s="6"/>
      <c r="C41" s="3"/>
      <c r="D41" s="11"/>
      <c r="E41" s="8"/>
      <c r="F41" s="8"/>
    </row>
    <row r="42" spans="2:6" x14ac:dyDescent="0.25">
      <c r="B42" s="6"/>
      <c r="C42" s="3"/>
      <c r="D42" s="11"/>
      <c r="E42" s="8"/>
      <c r="F42" s="8"/>
    </row>
    <row r="43" spans="2:6" x14ac:dyDescent="0.25">
      <c r="B43" s="6"/>
      <c r="C43" s="3"/>
      <c r="D43" s="11"/>
      <c r="E43" s="8"/>
      <c r="F43" s="8"/>
    </row>
    <row r="44" spans="2:6" x14ac:dyDescent="0.25">
      <c r="B44" s="6"/>
      <c r="C44" s="3"/>
      <c r="D44" s="11"/>
      <c r="E44" s="8"/>
      <c r="F44" s="8"/>
    </row>
    <row r="45" spans="2:6" x14ac:dyDescent="0.25">
      <c r="B45" s="6"/>
      <c r="C45" s="3"/>
      <c r="D45" s="11"/>
      <c r="E45" s="8"/>
      <c r="F45" s="8"/>
    </row>
    <row r="46" spans="2:6" x14ac:dyDescent="0.25">
      <c r="B46" s="6"/>
      <c r="C46" s="3"/>
      <c r="D46" s="11"/>
      <c r="E46" s="8"/>
      <c r="F46" s="8"/>
    </row>
    <row r="47" spans="2:6" x14ac:dyDescent="0.25">
      <c r="B47" s="6"/>
      <c r="C47" s="3"/>
      <c r="D47" s="11"/>
      <c r="E47" s="8"/>
      <c r="F47" s="8"/>
    </row>
    <row r="48" spans="2:6" x14ac:dyDescent="0.25">
      <c r="B48" s="6"/>
      <c r="C48" s="3"/>
      <c r="D48" s="11"/>
      <c r="E48" s="8"/>
      <c r="F48" s="8"/>
    </row>
    <row r="49" spans="2:6" x14ac:dyDescent="0.25">
      <c r="B49" s="6"/>
      <c r="C49" s="3"/>
      <c r="D49" s="11"/>
      <c r="E49" s="8"/>
      <c r="F49" s="8"/>
    </row>
    <row r="50" spans="2:6" x14ac:dyDescent="0.25">
      <c r="B50" s="6"/>
      <c r="C50" s="3"/>
      <c r="D50" s="11"/>
      <c r="E50" s="8"/>
      <c r="F50" s="8"/>
    </row>
    <row r="51" spans="2:6" x14ac:dyDescent="0.25">
      <c r="B51" s="6"/>
      <c r="C51" s="3"/>
      <c r="D51" s="11"/>
      <c r="E51" s="8"/>
      <c r="F51" s="8"/>
    </row>
    <row r="52" spans="2:6" x14ac:dyDescent="0.25">
      <c r="B52" s="6"/>
      <c r="C52" s="3"/>
      <c r="D52" s="11"/>
      <c r="E52" s="8"/>
      <c r="F52" s="8"/>
    </row>
    <row r="53" spans="2:6" x14ac:dyDescent="0.25">
      <c r="B53" s="6"/>
      <c r="C53" s="3"/>
      <c r="D53" s="11"/>
      <c r="E53" s="8"/>
      <c r="F53" s="8"/>
    </row>
    <row r="54" spans="2:6" x14ac:dyDescent="0.25">
      <c r="B54" s="6"/>
      <c r="C54" s="3"/>
      <c r="D54" s="11"/>
      <c r="E54" s="8"/>
      <c r="F54" s="8"/>
    </row>
    <row r="55" spans="2:6" x14ac:dyDescent="0.25">
      <c r="B55" s="6"/>
      <c r="C55" s="3"/>
      <c r="D55" s="11"/>
      <c r="E55" s="8"/>
      <c r="F55" s="8"/>
    </row>
    <row r="56" spans="2:6" x14ac:dyDescent="0.25">
      <c r="B56" s="6"/>
      <c r="C56" s="3"/>
      <c r="D56" s="11"/>
      <c r="E56" s="8"/>
      <c r="F56" s="8"/>
    </row>
    <row r="57" spans="2:6" x14ac:dyDescent="0.25">
      <c r="B57" s="6"/>
      <c r="C57" s="3"/>
      <c r="D57" s="11"/>
      <c r="E57" s="8"/>
      <c r="F57" s="8"/>
    </row>
    <row r="58" spans="2:6" x14ac:dyDescent="0.25">
      <c r="B58" s="6"/>
      <c r="C58" s="3"/>
      <c r="D58" s="11"/>
      <c r="E58" s="8"/>
      <c r="F58" s="8"/>
    </row>
    <row r="59" spans="2:6" x14ac:dyDescent="0.25">
      <c r="B59" s="6"/>
      <c r="C59" s="3"/>
      <c r="D59" s="11"/>
      <c r="E59" s="8"/>
      <c r="F59" s="8"/>
    </row>
    <row r="60" spans="2:6" x14ac:dyDescent="0.25">
      <c r="B60" s="6"/>
      <c r="C60" s="3"/>
      <c r="D60" s="11"/>
      <c r="E60" s="8"/>
      <c r="F60" s="8"/>
    </row>
    <row r="61" spans="2:6" x14ac:dyDescent="0.25">
      <c r="B61" s="6"/>
      <c r="C61" s="3"/>
      <c r="D61" s="11"/>
      <c r="E61" s="8"/>
      <c r="F61" s="8"/>
    </row>
    <row r="62" spans="2:6" x14ac:dyDescent="0.25">
      <c r="B62" s="6"/>
      <c r="C62" s="3"/>
      <c r="D62" s="11"/>
      <c r="E62" s="8"/>
      <c r="F62" s="8"/>
    </row>
    <row r="63" spans="2:6" x14ac:dyDescent="0.25">
      <c r="B63" s="6"/>
      <c r="C63" s="3"/>
      <c r="D63" s="11"/>
      <c r="E63" s="8"/>
      <c r="F63" s="8"/>
    </row>
    <row r="64" spans="2:6" x14ac:dyDescent="0.25">
      <c r="B64" s="6"/>
      <c r="C64" s="3"/>
      <c r="D64" s="11"/>
      <c r="E64" s="8"/>
      <c r="F64" s="8"/>
    </row>
    <row r="65" spans="2:6" x14ac:dyDescent="0.25">
      <c r="B65" s="6"/>
      <c r="C65" s="3"/>
      <c r="D65" s="11"/>
      <c r="E65" s="8"/>
      <c r="F65" s="8"/>
    </row>
    <row r="66" spans="2:6" x14ac:dyDescent="0.25">
      <c r="B66" s="6"/>
      <c r="C66" s="3"/>
      <c r="D66" s="11"/>
      <c r="E66" s="8"/>
      <c r="F66" s="8"/>
    </row>
    <row r="67" spans="2:6" x14ac:dyDescent="0.25">
      <c r="B67" s="6"/>
      <c r="C67" s="3"/>
      <c r="D67" s="11"/>
      <c r="E67" s="8"/>
      <c r="F67" s="8"/>
    </row>
    <row r="68" spans="2:6" x14ac:dyDescent="0.25">
      <c r="B68" s="6"/>
      <c r="C68" s="3"/>
      <c r="D68" s="11"/>
      <c r="E68" s="8"/>
      <c r="F68" s="8"/>
    </row>
    <row r="69" spans="2:6" x14ac:dyDescent="0.25">
      <c r="B69" s="6"/>
      <c r="C69" s="3"/>
      <c r="D69" s="11"/>
      <c r="E69" s="8"/>
      <c r="F69" s="8"/>
    </row>
    <row r="70" spans="2:6" x14ac:dyDescent="0.25">
      <c r="B70" s="6"/>
      <c r="C70" s="3"/>
      <c r="D70" s="11"/>
      <c r="E70" s="8"/>
      <c r="F70" s="8"/>
    </row>
    <row r="71" spans="2:6" x14ac:dyDescent="0.25">
      <c r="B71" s="6"/>
      <c r="C71" s="3"/>
      <c r="D71" s="11"/>
      <c r="E71" s="8"/>
      <c r="F71" s="8"/>
    </row>
    <row r="72" spans="2:6" x14ac:dyDescent="0.25">
      <c r="B72" s="6"/>
      <c r="C72" s="3"/>
      <c r="D72" s="11"/>
      <c r="E72" s="8"/>
      <c r="F72" s="8"/>
    </row>
    <row r="73" spans="2:6" x14ac:dyDescent="0.25">
      <c r="B73" s="6"/>
      <c r="C73" s="3"/>
      <c r="D73" s="11"/>
      <c r="E73" s="8"/>
      <c r="F73" s="8"/>
    </row>
    <row r="74" spans="2:6" x14ac:dyDescent="0.25">
      <c r="B74" s="6"/>
      <c r="C74" s="3"/>
      <c r="D74" s="11"/>
      <c r="E74" s="8"/>
      <c r="F74" s="8"/>
    </row>
    <row r="75" spans="2:6" x14ac:dyDescent="0.25">
      <c r="B75" s="6"/>
      <c r="C75" s="3"/>
      <c r="D75" s="11"/>
      <c r="E75" s="8"/>
      <c r="F75" s="8"/>
    </row>
    <row r="76" spans="2:6" x14ac:dyDescent="0.25">
      <c r="B76" s="6"/>
      <c r="C76" s="3"/>
      <c r="D76" s="11"/>
      <c r="E76" s="8"/>
      <c r="F76" s="8"/>
    </row>
    <row r="77" spans="2:6" x14ac:dyDescent="0.25">
      <c r="B77" s="6"/>
      <c r="C77" s="3"/>
      <c r="D77" s="11"/>
      <c r="E77" s="8"/>
      <c r="F77" s="8"/>
    </row>
    <row r="78" spans="2:6" x14ac:dyDescent="0.25">
      <c r="B78" s="6"/>
      <c r="C78" s="3"/>
      <c r="D78" s="11"/>
      <c r="E78" s="8"/>
      <c r="F78" s="8"/>
    </row>
    <row r="79" spans="2:6" x14ac:dyDescent="0.25">
      <c r="B79" s="6"/>
      <c r="C79" s="3"/>
      <c r="D79" s="11"/>
      <c r="E79" s="8"/>
      <c r="F79" s="8"/>
    </row>
    <row r="80" spans="2:6" x14ac:dyDescent="0.25">
      <c r="B80" s="6"/>
      <c r="C80" s="3"/>
      <c r="D80" s="11"/>
      <c r="E80" s="8"/>
      <c r="F80" s="8"/>
    </row>
    <row r="81" spans="2:6" x14ac:dyDescent="0.25">
      <c r="B81" s="6"/>
      <c r="C81" s="3"/>
      <c r="D81" s="11"/>
      <c r="E81" s="8"/>
      <c r="F81" s="8"/>
    </row>
    <row r="82" spans="2:6" x14ac:dyDescent="0.25">
      <c r="B82" s="6"/>
      <c r="C82" s="3"/>
      <c r="D82" s="11"/>
      <c r="E82" s="8"/>
      <c r="F82" s="8"/>
    </row>
    <row r="83" spans="2:6" x14ac:dyDescent="0.25">
      <c r="B83" s="6"/>
      <c r="C83" s="3"/>
      <c r="D83" s="11"/>
      <c r="E83" s="8"/>
      <c r="F83" s="8"/>
    </row>
    <row r="84" spans="2:6" x14ac:dyDescent="0.25">
      <c r="B84" s="6"/>
      <c r="C84" s="3"/>
      <c r="D84" s="11"/>
      <c r="E84" s="8"/>
      <c r="F84" s="8"/>
    </row>
    <row r="85" spans="2:6" x14ac:dyDescent="0.25">
      <c r="B85" s="6"/>
      <c r="C85" s="3"/>
      <c r="D85" s="11"/>
      <c r="E85" s="8"/>
      <c r="F85" s="8"/>
    </row>
    <row r="86" spans="2:6" x14ac:dyDescent="0.25">
      <c r="B86" s="6"/>
      <c r="C86" s="3"/>
      <c r="D86" s="11"/>
      <c r="E86" s="8"/>
      <c r="F86" s="8"/>
    </row>
    <row r="87" spans="2:6" x14ac:dyDescent="0.25">
      <c r="B87" s="6"/>
      <c r="C87" s="3"/>
      <c r="D87" s="11"/>
      <c r="E87" s="8"/>
      <c r="F87" s="8"/>
    </row>
    <row r="88" spans="2:6" x14ac:dyDescent="0.25">
      <c r="B88" s="6"/>
      <c r="C88" s="3"/>
      <c r="D88" s="11"/>
      <c r="E88" s="8"/>
      <c r="F88" s="8"/>
    </row>
    <row r="89" spans="2:6" x14ac:dyDescent="0.25">
      <c r="B89" s="6"/>
      <c r="C89" s="3"/>
      <c r="D89" s="11"/>
      <c r="E89" s="8"/>
      <c r="F89" s="8"/>
    </row>
    <row r="90" spans="2:6" x14ac:dyDescent="0.25">
      <c r="B90" s="6"/>
      <c r="C90" s="3"/>
      <c r="D90" s="11"/>
      <c r="E90" s="8"/>
      <c r="F90" s="8"/>
    </row>
    <row r="91" spans="2:6" x14ac:dyDescent="0.25">
      <c r="B91" s="6"/>
      <c r="C91" s="3"/>
      <c r="D91" s="11"/>
      <c r="E91" s="8"/>
      <c r="F91" s="8"/>
    </row>
    <row r="92" spans="2:6" x14ac:dyDescent="0.25">
      <c r="B92" s="6"/>
      <c r="C92" s="3"/>
      <c r="D92" s="11"/>
      <c r="E92" s="8"/>
      <c r="F92" s="8"/>
    </row>
    <row r="93" spans="2:6" x14ac:dyDescent="0.25">
      <c r="B93" s="6"/>
      <c r="C93" s="3"/>
      <c r="D93" s="11"/>
      <c r="E93" s="8"/>
      <c r="F93" s="8"/>
    </row>
    <row r="94" spans="2:6" x14ac:dyDescent="0.25">
      <c r="B94" s="6"/>
      <c r="C94" s="3"/>
      <c r="D94" s="11"/>
      <c r="E94" s="8"/>
      <c r="F94" s="8"/>
    </row>
    <row r="95" spans="2:6" x14ac:dyDescent="0.25">
      <c r="B95" s="6"/>
      <c r="C95" s="3"/>
      <c r="D95" s="11"/>
      <c r="E95" s="8"/>
      <c r="F95" s="8"/>
    </row>
    <row r="96" spans="2:6" x14ac:dyDescent="0.25">
      <c r="B96" s="6"/>
      <c r="C96" s="3"/>
      <c r="D96" s="11"/>
      <c r="E96" s="8"/>
      <c r="F96" s="8"/>
    </row>
    <row r="97" spans="2:6" x14ac:dyDescent="0.25">
      <c r="B97" s="6"/>
      <c r="C97" s="3"/>
      <c r="D97" s="11"/>
      <c r="E97" s="8"/>
      <c r="F97" s="8"/>
    </row>
    <row r="98" spans="2:6" x14ac:dyDescent="0.25">
      <c r="B98" s="6"/>
      <c r="C98" s="3"/>
      <c r="D98" s="11"/>
      <c r="E98" s="8"/>
      <c r="F98" s="8"/>
    </row>
    <row r="99" spans="2:6" x14ac:dyDescent="0.25">
      <c r="B99" s="6"/>
      <c r="C99" s="3"/>
      <c r="D99" s="11"/>
      <c r="E99" s="8"/>
      <c r="F99" s="8"/>
    </row>
    <row r="100" spans="2:6" x14ac:dyDescent="0.25">
      <c r="B100" s="6"/>
      <c r="C100" s="3"/>
      <c r="D100" s="11"/>
      <c r="E100" s="8"/>
      <c r="F100" s="8"/>
    </row>
    <row r="101" spans="2:6" x14ac:dyDescent="0.25">
      <c r="B101" s="6"/>
      <c r="C101" s="3"/>
      <c r="D101" s="11"/>
      <c r="E101" s="8"/>
      <c r="F101" s="8"/>
    </row>
    <row r="102" spans="2:6" x14ac:dyDescent="0.25">
      <c r="B102" s="6"/>
      <c r="C102" s="3"/>
      <c r="D102" s="11"/>
      <c r="E102" s="8"/>
      <c r="F102" s="8"/>
    </row>
    <row r="103" spans="2:6" x14ac:dyDescent="0.25">
      <c r="B103" s="6"/>
      <c r="C103" s="3"/>
      <c r="D103" s="11"/>
      <c r="E103" s="8"/>
      <c r="F103" s="8"/>
    </row>
    <row r="104" spans="2:6" x14ac:dyDescent="0.25">
      <c r="B104" s="6"/>
      <c r="C104" s="3"/>
      <c r="D104" s="11"/>
      <c r="E104" s="8"/>
      <c r="F104" s="8"/>
    </row>
    <row r="105" spans="2:6" x14ac:dyDescent="0.25">
      <c r="B105" s="6"/>
      <c r="C105" s="3"/>
      <c r="D105" s="11"/>
      <c r="E105" s="8"/>
      <c r="F105" s="8"/>
    </row>
    <row r="106" spans="2:6" x14ac:dyDescent="0.25">
      <c r="B106" s="6"/>
      <c r="C106" s="3"/>
      <c r="D106" s="11"/>
      <c r="E106" s="8"/>
      <c r="F106" s="8"/>
    </row>
    <row r="107" spans="2:6" x14ac:dyDescent="0.25">
      <c r="B107" s="6"/>
      <c r="C107" s="3"/>
      <c r="D107" s="11"/>
      <c r="E107" s="8"/>
      <c r="F107" s="8"/>
    </row>
    <row r="108" spans="2:6" x14ac:dyDescent="0.25">
      <c r="B108" s="6"/>
      <c r="C108" s="3"/>
      <c r="D108" s="11"/>
      <c r="E108" s="8"/>
      <c r="F108" s="8"/>
    </row>
    <row r="109" spans="2:6" x14ac:dyDescent="0.25">
      <c r="B109" s="6"/>
      <c r="C109" s="3"/>
      <c r="D109" s="11"/>
      <c r="E109" s="8"/>
      <c r="F109" s="8"/>
    </row>
    <row r="110" spans="2:6" x14ac:dyDescent="0.25">
      <c r="B110" s="6"/>
      <c r="C110" s="3"/>
      <c r="D110" s="11"/>
      <c r="E110" s="8"/>
      <c r="F110" s="8"/>
    </row>
    <row r="111" spans="2:6" x14ac:dyDescent="0.25">
      <c r="B111" s="6"/>
      <c r="C111" s="3"/>
      <c r="D111" s="11"/>
      <c r="E111" s="8"/>
      <c r="F111" s="8"/>
    </row>
    <row r="112" spans="2:6" x14ac:dyDescent="0.25">
      <c r="B112" s="6"/>
      <c r="C112" s="3"/>
      <c r="D112" s="11"/>
      <c r="E112" s="8"/>
      <c r="F112" s="8"/>
    </row>
    <row r="113" spans="2:6" x14ac:dyDescent="0.25">
      <c r="B113" s="6"/>
      <c r="C113" s="3"/>
      <c r="D113" s="11"/>
      <c r="E113" s="8"/>
      <c r="F113" s="8"/>
    </row>
    <row r="114" spans="2:6" x14ac:dyDescent="0.25">
      <c r="B114" s="6"/>
      <c r="C114" s="3"/>
      <c r="D114" s="11"/>
      <c r="E114" s="8"/>
      <c r="F114" s="8"/>
    </row>
    <row r="115" spans="2:6" x14ac:dyDescent="0.25">
      <c r="B115" s="6"/>
      <c r="C115" s="3"/>
      <c r="D115" s="11"/>
      <c r="E115" s="8"/>
      <c r="F115" s="8"/>
    </row>
    <row r="116" spans="2:6" x14ac:dyDescent="0.25">
      <c r="B116" s="6"/>
      <c r="C116" s="3"/>
      <c r="D116" s="11"/>
      <c r="E116" s="8"/>
      <c r="F116" s="8"/>
    </row>
    <row r="117" spans="2:6" x14ac:dyDescent="0.25">
      <c r="B117" s="6"/>
      <c r="C117" s="3"/>
      <c r="D117" s="11"/>
      <c r="E117" s="8"/>
      <c r="F117" s="8"/>
    </row>
    <row r="118" spans="2:6" x14ac:dyDescent="0.25">
      <c r="B118" s="6"/>
      <c r="C118" s="3"/>
      <c r="D118" s="11"/>
      <c r="E118" s="8"/>
      <c r="F118" s="8"/>
    </row>
    <row r="119" spans="2:6" x14ac:dyDescent="0.25">
      <c r="B119" s="6"/>
      <c r="C119" s="3"/>
      <c r="D119" s="11"/>
      <c r="E119" s="8"/>
      <c r="F119" s="8"/>
    </row>
    <row r="120" spans="2:6" x14ac:dyDescent="0.25">
      <c r="B120" s="6"/>
      <c r="C120" s="3"/>
      <c r="D120" s="11"/>
      <c r="E120" s="8"/>
      <c r="F120" s="8"/>
    </row>
    <row r="121" spans="2:6" x14ac:dyDescent="0.25">
      <c r="B121" s="6"/>
      <c r="C121" s="3"/>
      <c r="D121" s="11"/>
      <c r="E121" s="8"/>
      <c r="F121" s="8"/>
    </row>
    <row r="122" spans="2:6" x14ac:dyDescent="0.25">
      <c r="B122" s="6"/>
      <c r="C122" s="3"/>
      <c r="D122" s="11"/>
      <c r="E122" s="8"/>
      <c r="F122" s="8"/>
    </row>
    <row r="123" spans="2:6" x14ac:dyDescent="0.25">
      <c r="B123" s="6"/>
      <c r="C123" s="3"/>
      <c r="D123" s="11"/>
      <c r="E123" s="8"/>
      <c r="F123" s="8"/>
    </row>
    <row r="124" spans="2:6" x14ac:dyDescent="0.25">
      <c r="B124" s="6"/>
      <c r="C124" s="3"/>
      <c r="D124" s="11"/>
      <c r="E124" s="8"/>
      <c r="F124" s="8"/>
    </row>
    <row r="125" spans="2:6" x14ac:dyDescent="0.25">
      <c r="B125" s="6"/>
      <c r="C125" s="3"/>
      <c r="D125" s="11"/>
      <c r="E125" s="8"/>
      <c r="F125" s="8"/>
    </row>
    <row r="126" spans="2:6" x14ac:dyDescent="0.25">
      <c r="B126" s="6"/>
      <c r="C126" s="3"/>
      <c r="D126" s="11"/>
      <c r="E126" s="8"/>
      <c r="F126" s="8"/>
    </row>
    <row r="127" spans="2:6" x14ac:dyDescent="0.25">
      <c r="B127" s="6"/>
      <c r="C127" s="3"/>
      <c r="D127" s="11"/>
      <c r="E127" s="8"/>
      <c r="F127" s="8"/>
    </row>
    <row r="128" spans="2:6" x14ac:dyDescent="0.25">
      <c r="B128" s="6"/>
      <c r="C128" s="3"/>
      <c r="D128" s="11"/>
      <c r="E128" s="8"/>
      <c r="F128" s="8"/>
    </row>
    <row r="129" spans="2:6" x14ac:dyDescent="0.25">
      <c r="B129" s="6"/>
      <c r="C129" s="3"/>
      <c r="D129" s="11"/>
      <c r="E129" s="8"/>
      <c r="F129" s="8"/>
    </row>
    <row r="130" spans="2:6" x14ac:dyDescent="0.25">
      <c r="B130" s="6"/>
      <c r="C130" s="3"/>
      <c r="D130" s="11"/>
      <c r="E130" s="8"/>
      <c r="F130" s="8"/>
    </row>
    <row r="131" spans="2:6" x14ac:dyDescent="0.25">
      <c r="B131" s="6"/>
      <c r="C131" s="3"/>
      <c r="D131" s="11"/>
      <c r="E131" s="8"/>
      <c r="F131" s="8"/>
    </row>
    <row r="132" spans="2:6" x14ac:dyDescent="0.25">
      <c r="B132" s="6"/>
      <c r="C132" s="3"/>
      <c r="D132" s="11"/>
      <c r="E132" s="8"/>
      <c r="F132" s="8"/>
    </row>
    <row r="133" spans="2:6" x14ac:dyDescent="0.25">
      <c r="B133" s="6"/>
      <c r="C133" s="3"/>
      <c r="D133" s="11"/>
      <c r="E133" s="8"/>
      <c r="F133" s="8"/>
    </row>
    <row r="134" spans="2:6" x14ac:dyDescent="0.25">
      <c r="B134" s="6"/>
      <c r="C134" s="3"/>
      <c r="D134" s="11"/>
      <c r="E134" s="8"/>
      <c r="F134" s="8"/>
    </row>
    <row r="135" spans="2:6" x14ac:dyDescent="0.25">
      <c r="B135" s="6"/>
      <c r="C135" s="3"/>
      <c r="D135" s="11"/>
      <c r="E135" s="8"/>
      <c r="F135" s="8"/>
    </row>
    <row r="136" spans="2:6" x14ac:dyDescent="0.25">
      <c r="B136" s="6"/>
      <c r="C136" s="3"/>
      <c r="D136" s="11"/>
      <c r="E136" s="8"/>
      <c r="F136" s="8"/>
    </row>
    <row r="137" spans="2:6" x14ac:dyDescent="0.25">
      <c r="B137" s="6"/>
      <c r="C137" s="3"/>
      <c r="D137" s="11"/>
      <c r="E137" s="8"/>
      <c r="F137" s="8"/>
    </row>
    <row r="138" spans="2:6" x14ac:dyDescent="0.25">
      <c r="B138" s="6"/>
      <c r="C138" s="3"/>
      <c r="D138" s="11"/>
      <c r="E138" s="8"/>
      <c r="F138" s="8"/>
    </row>
    <row r="139" spans="2:6" x14ac:dyDescent="0.25">
      <c r="B139" s="6"/>
      <c r="C139" s="3"/>
      <c r="D139" s="11"/>
      <c r="E139" s="8"/>
      <c r="F139" s="8"/>
    </row>
    <row r="140" spans="2:6" x14ac:dyDescent="0.25">
      <c r="B140" s="6"/>
      <c r="C140" s="3"/>
      <c r="D140" s="11"/>
      <c r="E140" s="8"/>
      <c r="F140" s="8"/>
    </row>
    <row r="141" spans="2:6" x14ac:dyDescent="0.25">
      <c r="B141" s="6"/>
      <c r="C141" s="3"/>
      <c r="D141" s="11"/>
      <c r="E141" s="8"/>
      <c r="F141" s="8"/>
    </row>
    <row r="142" spans="2:6" x14ac:dyDescent="0.25">
      <c r="B142" s="6"/>
      <c r="C142" s="3"/>
      <c r="D142" s="11"/>
      <c r="E142" s="8"/>
      <c r="F142" s="8"/>
    </row>
    <row r="143" spans="2:6" x14ac:dyDescent="0.25">
      <c r="B143" s="6"/>
      <c r="C143" s="3"/>
      <c r="D143" s="11"/>
      <c r="E143" s="8"/>
      <c r="F143" s="8"/>
    </row>
    <row r="144" spans="2:6" x14ac:dyDescent="0.25">
      <c r="B144" s="6"/>
      <c r="C144" s="3"/>
      <c r="D144" s="11"/>
      <c r="E144" s="8"/>
      <c r="F144" s="8"/>
    </row>
    <row r="145" spans="2:6" x14ac:dyDescent="0.25">
      <c r="B145" s="6"/>
      <c r="C145" s="3"/>
      <c r="D145" s="11"/>
      <c r="E145" s="8"/>
      <c r="F145" s="8"/>
    </row>
    <row r="146" spans="2:6" x14ac:dyDescent="0.25">
      <c r="B146" s="6"/>
      <c r="C146" s="3"/>
      <c r="D146" s="11"/>
      <c r="E146" s="8"/>
      <c r="F146" s="8"/>
    </row>
    <row r="147" spans="2:6" x14ac:dyDescent="0.25">
      <c r="B147" s="6"/>
      <c r="C147" s="3"/>
      <c r="D147" s="11"/>
      <c r="E147" s="8"/>
      <c r="F147" s="8"/>
    </row>
    <row r="148" spans="2:6" x14ac:dyDescent="0.25">
      <c r="B148" s="6"/>
      <c r="C148" s="3"/>
      <c r="D148" s="11"/>
      <c r="E148" s="8"/>
      <c r="F148" s="8"/>
    </row>
    <row r="149" spans="2:6" x14ac:dyDescent="0.25">
      <c r="B149" s="6"/>
      <c r="C149" s="3"/>
      <c r="D149" s="11"/>
      <c r="E149" s="8"/>
      <c r="F149" s="8"/>
    </row>
    <row r="150" spans="2:6" x14ac:dyDescent="0.25">
      <c r="B150" s="6"/>
      <c r="C150" s="3"/>
      <c r="D150" s="11"/>
      <c r="E150" s="8"/>
      <c r="F150" s="8"/>
    </row>
    <row r="151" spans="2:6" x14ac:dyDescent="0.25">
      <c r="B151" s="6"/>
      <c r="C151" s="3"/>
      <c r="D151" s="11"/>
      <c r="E151" s="8"/>
      <c r="F151" s="8"/>
    </row>
    <row r="152" spans="2:6" x14ac:dyDescent="0.25">
      <c r="B152" s="6"/>
      <c r="C152" s="3"/>
      <c r="D152" s="11"/>
      <c r="E152" s="8"/>
      <c r="F152" s="8"/>
    </row>
    <row r="153" spans="2:6" x14ac:dyDescent="0.25">
      <c r="B153" s="6"/>
      <c r="C153" s="3"/>
      <c r="D153" s="11"/>
      <c r="E153" s="8"/>
      <c r="F153" s="8"/>
    </row>
    <row r="154" spans="2:6" x14ac:dyDescent="0.25">
      <c r="B154" s="6"/>
      <c r="C154" s="3"/>
      <c r="D154" s="11"/>
      <c r="E154" s="8"/>
      <c r="F154" s="8"/>
    </row>
    <row r="155" spans="2:6" x14ac:dyDescent="0.25">
      <c r="B155" s="6"/>
      <c r="C155" s="3"/>
      <c r="D155" s="11"/>
      <c r="E155" s="8"/>
      <c r="F155" s="8"/>
    </row>
    <row r="156" spans="2:6" x14ac:dyDescent="0.25">
      <c r="B156" s="6"/>
      <c r="C156" s="3"/>
      <c r="D156" s="11"/>
      <c r="E156" s="8"/>
      <c r="F156" s="8"/>
    </row>
    <row r="157" spans="2:6" x14ac:dyDescent="0.25">
      <c r="B157" s="6"/>
      <c r="C157" s="3"/>
      <c r="D157" s="11"/>
      <c r="E157" s="8"/>
      <c r="F157" s="8"/>
    </row>
    <row r="158" spans="2:6" x14ac:dyDescent="0.25">
      <c r="B158" s="6"/>
      <c r="C158" s="3"/>
      <c r="D158" s="11"/>
      <c r="E158" s="8"/>
      <c r="F158" s="8"/>
    </row>
    <row r="159" spans="2:6" x14ac:dyDescent="0.25">
      <c r="B159" s="6"/>
      <c r="C159" s="3"/>
      <c r="D159" s="11"/>
      <c r="E159" s="8"/>
      <c r="F159" s="8"/>
    </row>
    <row r="160" spans="2:6" x14ac:dyDescent="0.25">
      <c r="B160" s="6"/>
      <c r="C160" s="3"/>
      <c r="D160" s="11"/>
      <c r="E160" s="8"/>
      <c r="F160" s="8"/>
    </row>
    <row r="161" spans="2:6" x14ac:dyDescent="0.25">
      <c r="B161" s="6"/>
      <c r="C161" s="3"/>
      <c r="D161" s="11"/>
      <c r="E161" s="8"/>
      <c r="F161" s="8"/>
    </row>
    <row r="162" spans="2:6" x14ac:dyDescent="0.25">
      <c r="B162" s="6"/>
      <c r="C162" s="3"/>
      <c r="D162" s="11"/>
      <c r="E162" s="8"/>
      <c r="F162" s="8"/>
    </row>
    <row r="163" spans="2:6" x14ac:dyDescent="0.25">
      <c r="B163" s="6"/>
      <c r="C163" s="3"/>
      <c r="D163" s="11"/>
      <c r="E163" s="8"/>
      <c r="F163" s="8"/>
    </row>
    <row r="164" spans="2:6" x14ac:dyDescent="0.25">
      <c r="B164" s="6"/>
      <c r="C164" s="3"/>
      <c r="D164" s="11"/>
      <c r="E164" s="8"/>
      <c r="F164" s="8"/>
    </row>
    <row r="165" spans="2:6" x14ac:dyDescent="0.25">
      <c r="B165" s="6"/>
      <c r="C165" s="3"/>
      <c r="D165" s="11"/>
      <c r="E165" s="8"/>
      <c r="F165" s="8"/>
    </row>
    <row r="166" spans="2:6" x14ac:dyDescent="0.25">
      <c r="B166" s="6"/>
      <c r="C166" s="3"/>
      <c r="D166" s="11"/>
      <c r="E166" s="8"/>
      <c r="F166" s="8"/>
    </row>
    <row r="167" spans="2:6" x14ac:dyDescent="0.25">
      <c r="B167" s="6"/>
      <c r="C167" s="3"/>
      <c r="D167" s="11"/>
      <c r="E167" s="8"/>
      <c r="F167" s="8"/>
    </row>
    <row r="168" spans="2:6" x14ac:dyDescent="0.25">
      <c r="B168" s="6"/>
      <c r="C168" s="3"/>
      <c r="D168" s="11"/>
      <c r="E168" s="8"/>
      <c r="F168" s="8"/>
    </row>
    <row r="169" spans="2:6" x14ac:dyDescent="0.25">
      <c r="B169" s="6"/>
      <c r="C169" s="3"/>
      <c r="D169" s="11"/>
      <c r="E169" s="8"/>
      <c r="F169" s="8"/>
    </row>
    <row r="170" spans="2:6" x14ac:dyDescent="0.25">
      <c r="B170" s="6"/>
      <c r="C170" s="3"/>
      <c r="D170" s="11"/>
      <c r="E170" s="8"/>
      <c r="F170" s="8"/>
    </row>
    <row r="171" spans="2:6" x14ac:dyDescent="0.25">
      <c r="B171" s="6"/>
      <c r="C171" s="3"/>
      <c r="D171" s="11"/>
      <c r="E171" s="8"/>
      <c r="F171" s="8"/>
    </row>
    <row r="172" spans="2:6" x14ac:dyDescent="0.25">
      <c r="B172" s="6"/>
      <c r="C172" s="3"/>
      <c r="D172" s="11"/>
      <c r="E172" s="8"/>
      <c r="F172" s="8"/>
    </row>
    <row r="173" spans="2:6" x14ac:dyDescent="0.25">
      <c r="B173" s="6"/>
      <c r="C173" s="3"/>
      <c r="D173" s="11"/>
      <c r="E173" s="8"/>
      <c r="F173" s="8"/>
    </row>
    <row r="174" spans="2:6" x14ac:dyDescent="0.25">
      <c r="B174" s="6"/>
      <c r="C174" s="3"/>
      <c r="D174" s="11"/>
      <c r="E174" s="8"/>
      <c r="F174" s="8"/>
    </row>
    <row r="175" spans="2:6" x14ac:dyDescent="0.25">
      <c r="B175" s="6"/>
      <c r="C175" s="3"/>
      <c r="D175" s="11"/>
      <c r="E175" s="8"/>
      <c r="F175" s="8"/>
    </row>
    <row r="176" spans="2:6" x14ac:dyDescent="0.25">
      <c r="B176" s="6"/>
      <c r="C176" s="3"/>
      <c r="D176" s="11"/>
      <c r="E176" s="8"/>
      <c r="F176" s="8"/>
    </row>
    <row r="177" spans="2:6" x14ac:dyDescent="0.25">
      <c r="B177" s="6"/>
      <c r="C177" s="3"/>
      <c r="D177" s="11"/>
      <c r="E177" s="8"/>
      <c r="F177" s="8"/>
    </row>
    <row r="178" spans="2:6" x14ac:dyDescent="0.25">
      <c r="B178" s="6"/>
      <c r="C178" s="3"/>
      <c r="D178" s="11"/>
      <c r="E178" s="8"/>
      <c r="F178" s="8"/>
    </row>
    <row r="179" spans="2:6" x14ac:dyDescent="0.25">
      <c r="B179" s="6"/>
      <c r="C179" s="3"/>
      <c r="D179" s="11"/>
      <c r="E179" s="8"/>
      <c r="F179" s="8"/>
    </row>
    <row r="180" spans="2:6" x14ac:dyDescent="0.25">
      <c r="B180" s="6"/>
      <c r="C180" s="3"/>
      <c r="D180" s="11"/>
      <c r="E180" s="8"/>
      <c r="F180" s="8"/>
    </row>
    <row r="181" spans="2:6" x14ac:dyDescent="0.25">
      <c r="B181" s="6"/>
      <c r="C181" s="3"/>
      <c r="D181" s="11"/>
      <c r="E181" s="8"/>
      <c r="F181" s="8"/>
    </row>
    <row r="182" spans="2:6" x14ac:dyDescent="0.25">
      <c r="B182" s="6"/>
      <c r="C182" s="3"/>
      <c r="D182" s="11"/>
      <c r="E182" s="8"/>
      <c r="F182" s="8"/>
    </row>
    <row r="183" spans="2:6" x14ac:dyDescent="0.25">
      <c r="B183" s="6"/>
      <c r="C183" s="3"/>
      <c r="D183" s="11"/>
      <c r="E183" s="8"/>
      <c r="F183" s="8"/>
    </row>
    <row r="184" spans="2:6" x14ac:dyDescent="0.25">
      <c r="B184" s="6"/>
      <c r="C184" s="3"/>
      <c r="D184" s="11"/>
      <c r="E184" s="8"/>
      <c r="F184" s="8"/>
    </row>
    <row r="185" spans="2:6" x14ac:dyDescent="0.25">
      <c r="B185" s="6"/>
      <c r="C185" s="3"/>
      <c r="D185" s="11"/>
      <c r="E185" s="8"/>
      <c r="F185" s="8"/>
    </row>
    <row r="186" spans="2:6" x14ac:dyDescent="0.25">
      <c r="B186" s="6"/>
      <c r="C186" s="3"/>
      <c r="D186" s="11"/>
      <c r="E186" s="8"/>
      <c r="F186" s="8"/>
    </row>
    <row r="187" spans="2:6" x14ac:dyDescent="0.25">
      <c r="B187" s="6"/>
      <c r="C187" s="3"/>
      <c r="D187" s="11"/>
      <c r="E187" s="8"/>
      <c r="F187" s="8"/>
    </row>
    <row r="188" spans="2:6" x14ac:dyDescent="0.25">
      <c r="B188" s="6"/>
      <c r="C188" s="3"/>
      <c r="D188" s="11"/>
      <c r="E188" s="8"/>
      <c r="F188" s="8"/>
    </row>
    <row r="189" spans="2:6" x14ac:dyDescent="0.25">
      <c r="B189" s="6"/>
      <c r="C189" s="3"/>
      <c r="D189" s="11"/>
      <c r="E189" s="8"/>
      <c r="F189" s="8"/>
    </row>
    <row r="190" spans="2:6" x14ac:dyDescent="0.25">
      <c r="B190" s="6"/>
      <c r="C190" s="3"/>
      <c r="D190" s="11"/>
      <c r="E190" s="8"/>
      <c r="F190" s="8"/>
    </row>
    <row r="191" spans="2:6" x14ac:dyDescent="0.25">
      <c r="B191" s="6"/>
      <c r="C191" s="3"/>
      <c r="D191" s="11"/>
      <c r="E191" s="8"/>
      <c r="F191" s="8"/>
    </row>
    <row r="192" spans="2:6" x14ac:dyDescent="0.25">
      <c r="B192" s="6"/>
      <c r="C192" s="3"/>
      <c r="D192" s="11"/>
      <c r="E192" s="8"/>
      <c r="F192" s="8"/>
    </row>
    <row r="193" spans="2:6" x14ac:dyDescent="0.25">
      <c r="B193" s="6"/>
      <c r="C193" s="3"/>
      <c r="D193" s="11"/>
      <c r="E193" s="8"/>
      <c r="F193" s="8"/>
    </row>
    <row r="194" spans="2:6" x14ac:dyDescent="0.25">
      <c r="B194" s="6"/>
      <c r="C194" s="3"/>
      <c r="D194" s="11"/>
      <c r="E194" s="8"/>
      <c r="F194" s="8"/>
    </row>
    <row r="195" spans="2:6" x14ac:dyDescent="0.25">
      <c r="B195" s="6"/>
      <c r="C195" s="3"/>
      <c r="D195" s="11"/>
      <c r="E195" s="8"/>
      <c r="F195" s="8"/>
    </row>
    <row r="196" spans="2:6" x14ac:dyDescent="0.25">
      <c r="B196" s="6"/>
      <c r="C196" s="3"/>
      <c r="D196" s="11"/>
      <c r="E196" s="8"/>
      <c r="F196" s="8"/>
    </row>
    <row r="197" spans="2:6" x14ac:dyDescent="0.25">
      <c r="B197" s="6"/>
      <c r="C197" s="3"/>
      <c r="D197" s="11"/>
      <c r="E197" s="8"/>
      <c r="F197" s="8"/>
    </row>
    <row r="198" spans="2:6" x14ac:dyDescent="0.25">
      <c r="B198" s="6"/>
      <c r="C198" s="3"/>
      <c r="D198" s="11"/>
      <c r="E198" s="8"/>
      <c r="F198" s="8"/>
    </row>
    <row r="199" spans="2:6" x14ac:dyDescent="0.25">
      <c r="B199" s="6"/>
      <c r="C199" s="3"/>
      <c r="D199" s="11"/>
      <c r="E199" s="8"/>
      <c r="F199" s="8"/>
    </row>
    <row r="200" spans="2:6" x14ac:dyDescent="0.25">
      <c r="B200" s="6"/>
      <c r="C200" s="3"/>
      <c r="D200" s="11"/>
      <c r="E200" s="8"/>
      <c r="F200" s="8"/>
    </row>
    <row r="201" spans="2:6" x14ac:dyDescent="0.25">
      <c r="B201" s="6"/>
      <c r="C201" s="3"/>
      <c r="D201" s="11"/>
      <c r="E201" s="8"/>
      <c r="F201" s="8"/>
    </row>
    <row r="202" spans="2:6" x14ac:dyDescent="0.25">
      <c r="B202" s="6"/>
      <c r="C202" s="3"/>
      <c r="D202" s="11"/>
      <c r="E202" s="8"/>
      <c r="F202" s="8"/>
    </row>
    <row r="203" spans="2:6" x14ac:dyDescent="0.25">
      <c r="B203" s="6"/>
      <c r="C203" s="3"/>
      <c r="D203" s="11"/>
      <c r="E203" s="8"/>
      <c r="F203" s="8"/>
    </row>
    <row r="204" spans="2:6" x14ac:dyDescent="0.25">
      <c r="B204" s="6"/>
      <c r="C204" s="3"/>
      <c r="D204" s="11"/>
      <c r="E204" s="8"/>
      <c r="F204" s="8"/>
    </row>
    <row r="205" spans="2:6" x14ac:dyDescent="0.25">
      <c r="B205" s="6"/>
      <c r="C205" s="3"/>
      <c r="D205" s="11"/>
      <c r="E205" s="8"/>
      <c r="F205" s="8"/>
    </row>
    <row r="206" spans="2:6" x14ac:dyDescent="0.25">
      <c r="B206" s="6"/>
      <c r="C206" s="3"/>
      <c r="D206" s="11"/>
      <c r="E206" s="8"/>
      <c r="F206" s="8"/>
    </row>
    <row r="207" spans="2:6" x14ac:dyDescent="0.25">
      <c r="B207" s="6"/>
      <c r="C207" s="3"/>
      <c r="D207" s="11"/>
      <c r="E207" s="8"/>
      <c r="F207" s="8"/>
    </row>
    <row r="208" spans="2:6" x14ac:dyDescent="0.25">
      <c r="B208" s="6"/>
      <c r="C208" s="3"/>
      <c r="D208" s="11"/>
      <c r="E208" s="8"/>
      <c r="F208" s="8"/>
    </row>
    <row r="209" spans="2:6" x14ac:dyDescent="0.25">
      <c r="B209" s="6"/>
      <c r="C209" s="3"/>
      <c r="D209" s="11"/>
      <c r="E209" s="8"/>
      <c r="F209" s="8"/>
    </row>
    <row r="210" spans="2:6" x14ac:dyDescent="0.25">
      <c r="B210" s="6"/>
      <c r="C210" s="3"/>
      <c r="D210" s="11"/>
      <c r="E210" s="8"/>
      <c r="F210" s="8"/>
    </row>
    <row r="211" spans="2:6" x14ac:dyDescent="0.25">
      <c r="B211" s="6"/>
      <c r="C211" s="3"/>
      <c r="D211" s="11"/>
      <c r="E211" s="8"/>
      <c r="F211" s="8"/>
    </row>
    <row r="212" spans="2:6" x14ac:dyDescent="0.25">
      <c r="B212" s="7"/>
      <c r="C212" s="4"/>
      <c r="D212" s="12"/>
      <c r="E212" s="9"/>
      <c r="F212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32" r:id="rId3" name="NovoProduto">
          <controlPr defaultSize="0" autoLine="0" autoPict="0" r:id="rId4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6</xdr:col>
                <xdr:colOff>419100</xdr:colOff>
                <xdr:row>1</xdr:row>
                <xdr:rowOff>104775</xdr:rowOff>
              </to>
            </anchor>
          </controlPr>
        </control>
      </mc:Choice>
      <mc:Fallback>
        <control shapeId="1032" r:id="rId3" name="NovoProduto"/>
      </mc:Fallback>
    </mc:AlternateContent>
    <mc:AlternateContent xmlns:mc="http://schemas.openxmlformats.org/markup-compatibility/2006">
      <mc:Choice Requires="x14">
        <control shapeId="1030" r:id="rId5" name="RegEntradaSaida">
          <controlPr defaultSize="0" autoLine="0" r:id="rId6">
            <anchor moveWithCells="1">
              <from>
                <xdr:col>6</xdr:col>
                <xdr:colOff>476250</xdr:colOff>
                <xdr:row>0</xdr:row>
                <xdr:rowOff>57150</xdr:rowOff>
              </from>
              <to>
                <xdr:col>8</xdr:col>
                <xdr:colOff>600075</xdr:colOff>
                <xdr:row>1</xdr:row>
                <xdr:rowOff>104775</xdr:rowOff>
              </to>
            </anchor>
          </controlPr>
        </control>
      </mc:Choice>
      <mc:Fallback>
        <control shapeId="1030" r:id="rId5" name="RegEntradaSaida"/>
      </mc:Fallback>
    </mc:AlternateContent>
    <mc:AlternateContent xmlns:mc="http://schemas.openxmlformats.org/markup-compatibility/2006">
      <mc:Choice Requires="x14">
        <control shapeId="1029" r:id="rId7" name="AbrirFecharCaixa">
          <controlPr defaultSize="0" autoLine="0" r:id="rId8">
            <anchor moveWithCells="1">
              <from>
                <xdr:col>9</xdr:col>
                <xdr:colOff>38100</xdr:colOff>
                <xdr:row>0</xdr:row>
                <xdr:rowOff>57150</xdr:rowOff>
              </from>
              <to>
                <xdr:col>10</xdr:col>
                <xdr:colOff>419100</xdr:colOff>
                <xdr:row>1</xdr:row>
                <xdr:rowOff>104775</xdr:rowOff>
              </to>
            </anchor>
          </controlPr>
        </control>
      </mc:Choice>
      <mc:Fallback>
        <control shapeId="1029" r:id="rId7" name="AbrirFecharCaixa"/>
      </mc:Fallback>
    </mc:AlternateContent>
    <mc:AlternateContent xmlns:mc="http://schemas.openxmlformats.org/markup-compatibility/2006">
      <mc:Choice Requires="x14">
        <control shapeId="1028" r:id="rId9" name="btFecharVenda">
          <controlPr defaultSize="0" autoLine="0" r:id="rId10">
            <anchor moveWithCells="1">
              <from>
                <xdr:col>6</xdr:col>
                <xdr:colOff>57150</xdr:colOff>
                <xdr:row>21</xdr:row>
                <xdr:rowOff>133350</xdr:rowOff>
              </from>
              <to>
                <xdr:col>11</xdr:col>
                <xdr:colOff>628650</xdr:colOff>
                <xdr:row>25</xdr:row>
                <xdr:rowOff>19050</xdr:rowOff>
              </to>
            </anchor>
          </controlPr>
        </control>
      </mc:Choice>
      <mc:Fallback>
        <control shapeId="1028" r:id="rId9" name="btFecharVenda"/>
      </mc:Fallback>
    </mc:AlternateContent>
    <mc:AlternateContent xmlns:mc="http://schemas.openxmlformats.org/markup-compatibility/2006">
      <mc:Choice Requires="x14">
        <control shapeId="1026" r:id="rId11" name="Qnt">
          <controlPr defaultSize="0" autoLine="0" r:id="rId12">
            <anchor>
              <from>
                <xdr:col>10</xdr:col>
                <xdr:colOff>552450</xdr:colOff>
                <xdr:row>7</xdr:row>
                <xdr:rowOff>104775</xdr:rowOff>
              </from>
              <to>
                <xdr:col>11</xdr:col>
                <xdr:colOff>619125</xdr:colOff>
                <xdr:row>8</xdr:row>
                <xdr:rowOff>180975</xdr:rowOff>
              </to>
            </anchor>
          </controlPr>
        </control>
      </mc:Choice>
      <mc:Fallback>
        <control shapeId="1026" r:id="rId11" name="Qnt"/>
      </mc:Fallback>
    </mc:AlternateContent>
    <mc:AlternateContent xmlns:mc="http://schemas.openxmlformats.org/markup-compatibility/2006">
      <mc:Choice Requires="x14">
        <control shapeId="1025" r:id="rId13" name="BarCode">
          <controlPr defaultSize="0" autoLine="0" r:id="rId14">
            <anchor>
              <from>
                <xdr:col>6</xdr:col>
                <xdr:colOff>66675</xdr:colOff>
                <xdr:row>7</xdr:row>
                <xdr:rowOff>104775</xdr:rowOff>
              </from>
              <to>
                <xdr:col>10</xdr:col>
                <xdr:colOff>466725</xdr:colOff>
                <xdr:row>8</xdr:row>
                <xdr:rowOff>180975</xdr:rowOff>
              </to>
            </anchor>
          </controlPr>
        </control>
      </mc:Choice>
      <mc:Fallback>
        <control shapeId="1025" r:id="rId13" name="BarCode"/>
      </mc:Fallback>
    </mc:AlternateContent>
    <mc:AlternateContent xmlns:mc="http://schemas.openxmlformats.org/markup-compatibility/2006">
      <mc:Choice Requires="x14">
        <control shapeId="1035" r:id="rId15" name="HideShowMenus">
          <controlPr defaultSize="0" autoLine="0" r:id="rId16">
            <anchor moveWithCells="1">
              <from>
                <xdr:col>10</xdr:col>
                <xdr:colOff>476250</xdr:colOff>
                <xdr:row>0</xdr:row>
                <xdr:rowOff>57150</xdr:rowOff>
              </from>
              <to>
                <xdr:col>16383</xdr:col>
                <xdr:colOff>476250</xdr:colOff>
                <xdr:row>1</xdr:row>
                <xdr:rowOff>104775</xdr:rowOff>
              </to>
            </anchor>
          </controlPr>
        </control>
      </mc:Choice>
      <mc:Fallback>
        <control shapeId="1035" r:id="rId15" name="HideShowMenus"/>
      </mc:Fallback>
    </mc:AlternateContent>
    <mc:AlternateContent xmlns:mc="http://schemas.openxmlformats.org/markup-compatibility/2006">
      <mc:Choice Requires="x14">
        <control shapeId="1036" r:id="rId17" name="btProcurarProduto">
          <controlPr defaultSize="0" autoLine="0" r:id="rId18">
            <anchor moveWithCells="1">
              <from>
                <xdr:col>4</xdr:col>
                <xdr:colOff>381000</xdr:colOff>
                <xdr:row>0</xdr:row>
                <xdr:rowOff>66675</xdr:rowOff>
              </from>
              <to>
                <xdr:col>5</xdr:col>
                <xdr:colOff>581025</xdr:colOff>
                <xdr:row>1</xdr:row>
                <xdr:rowOff>114300</xdr:rowOff>
              </to>
            </anchor>
          </controlPr>
        </control>
      </mc:Choice>
      <mc:Fallback>
        <control shapeId="1036" r:id="rId17" name="btProcurarProduto"/>
      </mc:Fallback>
    </mc:AlternateContent>
    <mc:AlternateContent xmlns:mc="http://schemas.openxmlformats.org/markup-compatibility/2006">
      <mc:Choice Requires="x14">
        <control shapeId="1037" r:id="rId19" name="btCancelarItem">
          <controlPr defaultSize="0" autoLine="0" r:id="rId20">
            <anchor moveWithCells="1">
              <from>
                <xdr:col>2</xdr:col>
                <xdr:colOff>3848100</xdr:colOff>
                <xdr:row>0</xdr:row>
                <xdr:rowOff>76200</xdr:rowOff>
              </from>
              <to>
                <xdr:col>4</xdr:col>
                <xdr:colOff>342900</xdr:colOff>
                <xdr:row>1</xdr:row>
                <xdr:rowOff>123825</xdr:rowOff>
              </to>
            </anchor>
          </controlPr>
        </control>
      </mc:Choice>
      <mc:Fallback>
        <control shapeId="1037" r:id="rId19" name="btCancelarItem"/>
      </mc:Fallback>
    </mc:AlternateContent>
  </controls>
  <tableParts count="1"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A109B-65CE-4A94-80B3-BE3248D8D364}">
  <sheetPr codeName="Planilha7">
    <tabColor theme="3" tint="-0.249977111117893"/>
  </sheetPr>
  <dimension ref="A1:Q6"/>
  <sheetViews>
    <sheetView showGridLines="0" showRowColHeaders="0" workbookViewId="0">
      <selection activeCell="C5" sqref="C5"/>
    </sheetView>
  </sheetViews>
  <sheetFormatPr defaultColWidth="0" defaultRowHeight="15" x14ac:dyDescent="0.25"/>
  <cols>
    <col min="1" max="1" width="21" customWidth="1"/>
    <col min="2" max="2" width="18" bestFit="1" customWidth="1"/>
    <col min="3" max="3" width="18.5703125" bestFit="1" customWidth="1"/>
    <col min="4" max="17" width="9.140625" customWidth="1"/>
    <col min="18" max="16384" width="9.140625" hidden="1"/>
  </cols>
  <sheetData>
    <row r="1" spans="2:3" ht="18.75" customHeight="1" x14ac:dyDescent="0.25"/>
    <row r="2" spans="2:3" x14ac:dyDescent="0.25">
      <c r="B2" s="15" t="s">
        <v>23</v>
      </c>
      <c r="C2" t="s">
        <v>35</v>
      </c>
    </row>
    <row r="3" spans="2:3" x14ac:dyDescent="0.25">
      <c r="B3" s="16" t="s">
        <v>32</v>
      </c>
    </row>
    <row r="4" spans="2:3" x14ac:dyDescent="0.25">
      <c r="B4" s="17" t="s">
        <v>33</v>
      </c>
    </row>
    <row r="5" spans="2:3" x14ac:dyDescent="0.25">
      <c r="B5" s="18" t="s">
        <v>34</v>
      </c>
      <c r="C5">
        <v>147.9</v>
      </c>
    </row>
    <row r="6" spans="2:3" x14ac:dyDescent="0.25">
      <c r="B6" s="16" t="s">
        <v>24</v>
      </c>
      <c r="C6">
        <v>147.9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UptadeTables">
                <anchor moveWithCells="1" sizeWithCells="1">
                  <from>
                    <xdr:col>0</xdr:col>
                    <xdr:colOff>228600</xdr:colOff>
                    <xdr:row>1</xdr:row>
                    <xdr:rowOff>57150</xdr:rowOff>
                  </from>
                  <to>
                    <xdr:col>0</xdr:col>
                    <xdr:colOff>1123950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E7C-94C8-426D-813D-9AB500F0ED4C}">
  <sheetPr codeName="Planilha8"/>
  <dimension ref="A1:H4"/>
  <sheetViews>
    <sheetView workbookViewId="0">
      <selection activeCell="B4" sqref="B4"/>
    </sheetView>
  </sheetViews>
  <sheetFormatPr defaultRowHeight="15" x14ac:dyDescent="0.25"/>
  <cols>
    <col min="1" max="1" width="10.85546875" customWidth="1"/>
    <col min="2" max="2" width="16.28515625" customWidth="1"/>
    <col min="3" max="3" width="13.85546875" bestFit="1" customWidth="1"/>
    <col min="4" max="4" width="12.140625" bestFit="1" customWidth="1"/>
    <col min="5" max="5" width="12.7109375" bestFit="1" customWidth="1"/>
    <col min="6" max="7" width="9.5703125" bestFit="1" customWidth="1"/>
    <col min="8" max="8" width="20.5703125" hidden="1" customWidth="1"/>
  </cols>
  <sheetData>
    <row r="1" spans="1:8" x14ac:dyDescent="0.25">
      <c r="A1" t="s">
        <v>0</v>
      </c>
      <c r="B1" t="s">
        <v>47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56</v>
      </c>
    </row>
    <row r="2" spans="1:8" x14ac:dyDescent="0.25">
      <c r="A2">
        <v>1</v>
      </c>
      <c r="B2" s="1">
        <v>7</v>
      </c>
      <c r="C2" s="21">
        <v>0</v>
      </c>
      <c r="D2" s="21">
        <v>7</v>
      </c>
      <c r="E2" s="21">
        <v>0</v>
      </c>
      <c r="F2" s="21">
        <v>0</v>
      </c>
      <c r="G2" s="21">
        <v>0</v>
      </c>
      <c r="H2" s="21" t="str">
        <f>IF(ISNA(VLOOKUP(Tabela5[[#This Row],['# Pedido]],'Info. do caixa atual'!$D:$D,1,FALSE)),"Não","Sim")</f>
        <v>Não</v>
      </c>
    </row>
    <row r="3" spans="1:8" x14ac:dyDescent="0.25">
      <c r="A3">
        <v>2</v>
      </c>
      <c r="B3" s="1">
        <v>2.5</v>
      </c>
      <c r="C3" s="21">
        <v>2.5</v>
      </c>
      <c r="D3" s="21">
        <v>0</v>
      </c>
      <c r="E3" s="21">
        <v>0</v>
      </c>
      <c r="F3" s="21">
        <v>0</v>
      </c>
      <c r="G3" s="21">
        <v>0</v>
      </c>
      <c r="H3" s="21" t="str">
        <f>IF(ISNA(VLOOKUP(Tabela5[[#This Row],['# Pedido]],'Info. do caixa atual'!$D:$D,1,FALSE)),"Não","Sim")</f>
        <v>Não</v>
      </c>
    </row>
    <row r="4" spans="1:8" x14ac:dyDescent="0.25">
      <c r="A4">
        <v>4</v>
      </c>
      <c r="B4" s="1">
        <v>124</v>
      </c>
      <c r="C4" s="21">
        <v>50</v>
      </c>
      <c r="D4" s="21">
        <v>24</v>
      </c>
      <c r="E4" s="21">
        <v>50</v>
      </c>
      <c r="F4" s="21">
        <v>0</v>
      </c>
      <c r="G4" s="21">
        <v>0</v>
      </c>
      <c r="H4" s="21" t="str">
        <f>IF(ISNA(VLOOKUP(Tabela5[[#This Row],['# Pedido]],'Info. do caixa atual'!$D:$D,1,FALSE)),"Não","Sim")</f>
        <v>Não</v>
      </c>
    </row>
  </sheetData>
  <conditionalFormatting sqref="B2:B4">
    <cfRule type="expression" dxfId="37" priority="2">
      <formula>NOT($B2=SUM($C2:$G2))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3589E62-9C00-465C-A109-819C1D128C3E}">
            <xm:f>NOT($B2=SUMIF('Vendas por produto'!$A:$A,$A2,'Vendas por produto'!$G:$G))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B2:B4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91D7-8A3C-4CBC-8148-167FBF4725E6}">
  <sheetPr codeName="Planilha2"/>
  <dimension ref="A1:G10"/>
  <sheetViews>
    <sheetView showGridLines="0" workbookViewId="0">
      <selection activeCell="G5" sqref="G5:G10"/>
    </sheetView>
  </sheetViews>
  <sheetFormatPr defaultRowHeight="15" x14ac:dyDescent="0.25"/>
  <cols>
    <col min="1" max="1" width="11" bestFit="1" customWidth="1"/>
    <col min="2" max="2" width="15.85546875" bestFit="1" customWidth="1"/>
    <col min="3" max="3" width="15.85546875" customWidth="1"/>
    <col min="4" max="4" width="16.28515625" bestFit="1" customWidth="1"/>
    <col min="5" max="5" width="7.140625" bestFit="1" customWidth="1"/>
    <col min="6" max="6" width="15.85546875" bestFit="1" customWidth="1"/>
    <col min="7" max="7" width="12.5703125" bestFit="1" customWidth="1"/>
    <col min="8" max="8" width="28.5703125" customWidth="1"/>
    <col min="9" max="9" width="18" bestFit="1" customWidth="1"/>
    <col min="10" max="10" width="13.5703125" bestFit="1" customWidth="1"/>
  </cols>
  <sheetData>
    <row r="1" spans="1:7" x14ac:dyDescent="0.25">
      <c r="A1" t="s">
        <v>0</v>
      </c>
      <c r="B1" s="14" t="s">
        <v>1</v>
      </c>
      <c r="C1" t="s">
        <v>6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>
        <v>1</v>
      </c>
      <c r="B2" s="14">
        <v>45077.951273148145</v>
      </c>
      <c r="C2" s="13">
        <v>7891079000229</v>
      </c>
      <c r="D2" t="s">
        <v>64</v>
      </c>
      <c r="E2">
        <v>2</v>
      </c>
      <c r="F2" s="1">
        <v>3.5</v>
      </c>
      <c r="G2" s="1">
        <v>7</v>
      </c>
    </row>
    <row r="3" spans="1:7" x14ac:dyDescent="0.25">
      <c r="A3">
        <v>2</v>
      </c>
      <c r="B3" s="14">
        <v>45077.965474537035</v>
      </c>
      <c r="C3" s="13">
        <v>1</v>
      </c>
      <c r="D3" t="s">
        <v>65</v>
      </c>
      <c r="E3">
        <v>1</v>
      </c>
      <c r="F3" s="1">
        <v>2.5</v>
      </c>
      <c r="G3" s="1">
        <v>2.5</v>
      </c>
    </row>
    <row r="4" spans="1:7" x14ac:dyDescent="0.25">
      <c r="A4">
        <v>3</v>
      </c>
      <c r="B4" s="30">
        <v>45202.77070601852</v>
      </c>
      <c r="C4" s="13">
        <v>2</v>
      </c>
      <c r="E4">
        <v>5</v>
      </c>
      <c r="F4" s="1"/>
      <c r="G4" s="1"/>
    </row>
    <row r="5" spans="1:7" x14ac:dyDescent="0.25">
      <c r="A5">
        <v>4</v>
      </c>
      <c r="B5" s="30">
        <v>45202.77070601852</v>
      </c>
      <c r="C5" s="13">
        <v>1</v>
      </c>
      <c r="D5" t="s">
        <v>65</v>
      </c>
      <c r="E5">
        <v>1</v>
      </c>
      <c r="F5" s="1">
        <v>3.5</v>
      </c>
      <c r="G5" s="1">
        <v>3.5</v>
      </c>
    </row>
    <row r="6" spans="1:7" x14ac:dyDescent="0.25">
      <c r="A6">
        <v>4</v>
      </c>
      <c r="B6" s="30">
        <v>45202.77070601852</v>
      </c>
      <c r="C6" s="13">
        <v>1</v>
      </c>
      <c r="D6" t="s">
        <v>65</v>
      </c>
      <c r="E6">
        <v>1</v>
      </c>
      <c r="F6" s="1">
        <v>3.5</v>
      </c>
      <c r="G6" s="1">
        <v>3.5</v>
      </c>
    </row>
    <row r="7" spans="1:7" x14ac:dyDescent="0.25">
      <c r="A7">
        <v>4</v>
      </c>
      <c r="B7" s="30">
        <v>45202.77070601852</v>
      </c>
      <c r="C7" s="13">
        <v>2</v>
      </c>
      <c r="D7" t="s">
        <v>66</v>
      </c>
      <c r="E7">
        <v>1</v>
      </c>
      <c r="F7" s="1">
        <v>32</v>
      </c>
      <c r="G7" s="1">
        <v>32</v>
      </c>
    </row>
    <row r="8" spans="1:7" x14ac:dyDescent="0.25">
      <c r="A8">
        <v>4</v>
      </c>
      <c r="B8" s="30">
        <v>45202.77070601852</v>
      </c>
      <c r="C8" s="13">
        <v>5</v>
      </c>
      <c r="D8" t="s">
        <v>68</v>
      </c>
      <c r="E8">
        <v>20</v>
      </c>
      <c r="F8" s="1">
        <v>2.75</v>
      </c>
      <c r="G8" s="1">
        <v>55</v>
      </c>
    </row>
    <row r="9" spans="1:7" x14ac:dyDescent="0.25">
      <c r="A9">
        <v>4</v>
      </c>
      <c r="B9" s="30">
        <v>45202.77070601852</v>
      </c>
      <c r="C9" s="13">
        <v>10</v>
      </c>
      <c r="D9" t="s">
        <v>80</v>
      </c>
      <c r="E9">
        <v>5</v>
      </c>
      <c r="F9" s="1">
        <v>4</v>
      </c>
      <c r="G9" s="1">
        <v>20</v>
      </c>
    </row>
    <row r="10" spans="1:7" x14ac:dyDescent="0.25">
      <c r="A10">
        <v>4</v>
      </c>
      <c r="B10" s="30">
        <v>45202.77070601852</v>
      </c>
      <c r="C10" s="13">
        <v>5054</v>
      </c>
      <c r="D10" t="s">
        <v>93</v>
      </c>
      <c r="E10">
        <v>1</v>
      </c>
      <c r="F10" s="1">
        <v>10</v>
      </c>
      <c r="G10" s="1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C0CD-A623-4424-9F4B-B420A456C85A}">
  <sheetPr codeName="Planilha6"/>
  <dimension ref="A1:O2"/>
  <sheetViews>
    <sheetView showGridLines="0" tabSelected="1" workbookViewId="0">
      <selection activeCell="D8" sqref="D8"/>
    </sheetView>
  </sheetViews>
  <sheetFormatPr defaultRowHeight="15" x14ac:dyDescent="0.25"/>
  <cols>
    <col min="1" max="1" width="14.28515625" customWidth="1"/>
    <col min="2" max="2" width="22.42578125" bestFit="1" customWidth="1"/>
    <col min="3" max="3" width="22.42578125" customWidth="1"/>
    <col min="4" max="4" width="17" customWidth="1"/>
    <col min="5" max="5" width="22.7109375" customWidth="1"/>
    <col min="6" max="6" width="16.5703125" bestFit="1" customWidth="1"/>
    <col min="7" max="7" width="17" customWidth="1"/>
    <col min="8" max="8" width="23.140625" bestFit="1" customWidth="1"/>
    <col min="9" max="9" width="21.5703125" bestFit="1" customWidth="1"/>
    <col min="10" max="10" width="19.85546875" bestFit="1" customWidth="1"/>
    <col min="11" max="11" width="20.42578125" bestFit="1" customWidth="1"/>
    <col min="12" max="12" width="16.140625" bestFit="1" customWidth="1"/>
    <col min="13" max="13" width="16.42578125" bestFit="1" customWidth="1"/>
    <col min="14" max="14" width="18.5703125" customWidth="1"/>
    <col min="15" max="15" width="16.28515625" customWidth="1"/>
    <col min="20" max="20" width="15.85546875" bestFit="1" customWidth="1"/>
    <col min="21" max="21" width="15.42578125" customWidth="1"/>
    <col min="22" max="22" width="10.85546875" bestFit="1" customWidth="1"/>
  </cols>
  <sheetData>
    <row r="1" spans="1:15" x14ac:dyDescent="0.25">
      <c r="A1" t="s">
        <v>15</v>
      </c>
      <c r="B1" t="s">
        <v>54</v>
      </c>
      <c r="C1" s="28" t="s">
        <v>55</v>
      </c>
      <c r="D1" s="26" t="s">
        <v>17</v>
      </c>
      <c r="E1" s="26" t="s">
        <v>18</v>
      </c>
      <c r="F1" s="24" t="s">
        <v>16</v>
      </c>
      <c r="G1" s="24" t="s">
        <v>21</v>
      </c>
      <c r="H1" s="24" t="s">
        <v>22</v>
      </c>
      <c r="I1" s="23" t="s">
        <v>49</v>
      </c>
      <c r="J1" s="23" t="s">
        <v>50</v>
      </c>
      <c r="K1" s="23" t="s">
        <v>51</v>
      </c>
      <c r="L1" s="23" t="s">
        <v>52</v>
      </c>
      <c r="M1" s="23" t="s">
        <v>53</v>
      </c>
      <c r="N1" s="22" t="s">
        <v>19</v>
      </c>
      <c r="O1" s="25" t="s">
        <v>20</v>
      </c>
    </row>
    <row r="2" spans="1:15" x14ac:dyDescent="0.25">
      <c r="A2" t="s">
        <v>62</v>
      </c>
      <c r="B2" s="1">
        <v>133.5</v>
      </c>
      <c r="C2" s="33">
        <v>-2.5</v>
      </c>
      <c r="D2" s="27">
        <v>45077.947939814818</v>
      </c>
      <c r="E2" s="27">
        <v>45202.771805555552</v>
      </c>
      <c r="F2" s="1">
        <v>100</v>
      </c>
      <c r="G2" s="1">
        <v>182.5</v>
      </c>
      <c r="H2" s="1">
        <v>180</v>
      </c>
      <c r="I2" s="1">
        <v>52.5</v>
      </c>
      <c r="J2" s="1">
        <v>31</v>
      </c>
      <c r="K2" s="1">
        <v>50</v>
      </c>
      <c r="L2" s="1">
        <v>0</v>
      </c>
      <c r="M2" s="1">
        <v>0</v>
      </c>
      <c r="N2" s="1">
        <v>60</v>
      </c>
      <c r="O2" s="1">
        <v>30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4989B-4B9A-45D4-8D68-00AD7B85ECA7}">
  <sheetPr codeName="Planilha4"/>
  <dimension ref="A1:D3"/>
  <sheetViews>
    <sheetView showGridLines="0" workbookViewId="0">
      <selection activeCell="D3" sqref="D3"/>
    </sheetView>
  </sheetViews>
  <sheetFormatPr defaultRowHeight="15" x14ac:dyDescent="0.25"/>
  <cols>
    <col min="1" max="1" width="19.140625" customWidth="1"/>
    <col min="2" max="2" width="13.140625" customWidth="1"/>
    <col min="3" max="3" width="11.5703125" customWidth="1"/>
    <col min="4" max="4" width="13.7109375" customWidth="1"/>
  </cols>
  <sheetData>
    <row r="1" spans="1:4" x14ac:dyDescent="0.25">
      <c r="A1" t="s">
        <v>8</v>
      </c>
      <c r="B1" t="s">
        <v>25</v>
      </c>
      <c r="C1" t="s">
        <v>7</v>
      </c>
      <c r="D1" t="s">
        <v>9</v>
      </c>
    </row>
    <row r="2" spans="1:4" x14ac:dyDescent="0.25">
      <c r="A2" s="14">
        <v>45202.770104166666</v>
      </c>
      <c r="B2" t="s">
        <v>94</v>
      </c>
      <c r="C2" t="s">
        <v>95</v>
      </c>
      <c r="D2" s="1">
        <v>60</v>
      </c>
    </row>
    <row r="3" spans="1:4" x14ac:dyDescent="0.25">
      <c r="A3" s="14">
        <v>45202.770219907405</v>
      </c>
      <c r="B3" t="s">
        <v>96</v>
      </c>
      <c r="C3" t="s">
        <v>97</v>
      </c>
      <c r="D3" s="1">
        <v>30</v>
      </c>
    </row>
  </sheetData>
  <conditionalFormatting sqref="A2:D3">
    <cfRule type="expression" dxfId="11" priority="1">
      <formula>$B2="Saída"</formula>
    </cfRule>
    <cfRule type="expression" dxfId="10" priority="2">
      <formula>$B2="Entrada"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2D8B-0F5D-4DCF-ADE7-C2B498454605}">
  <sheetPr codeName="Planilha3"/>
  <dimension ref="A1:J14"/>
  <sheetViews>
    <sheetView showGridLines="0" workbookViewId="0">
      <selection activeCell="G4" sqref="G4"/>
    </sheetView>
  </sheetViews>
  <sheetFormatPr defaultRowHeight="15" x14ac:dyDescent="0.25"/>
  <cols>
    <col min="1" max="1" width="13.7109375" bestFit="1" customWidth="1"/>
    <col min="2" max="2" width="12.7109375" bestFit="1" customWidth="1"/>
    <col min="3" max="3" width="12.7109375" customWidth="1"/>
    <col min="4" max="4" width="16.7109375" bestFit="1" customWidth="1"/>
    <col min="5" max="5" width="16.28515625" bestFit="1" customWidth="1"/>
    <col min="6" max="6" width="20.42578125" bestFit="1" customWidth="1"/>
    <col min="7" max="7" width="15.42578125" bestFit="1" customWidth="1"/>
    <col min="8" max="8" width="17.85546875" bestFit="1" customWidth="1"/>
    <col min="9" max="9" width="23" bestFit="1" customWidth="1"/>
    <col min="10" max="10" width="28" bestFit="1" customWidth="1"/>
  </cols>
  <sheetData>
    <row r="1" spans="1:10" x14ac:dyDescent="0.25">
      <c r="A1" s="13" t="s">
        <v>6</v>
      </c>
      <c r="B1" t="s">
        <v>7</v>
      </c>
      <c r="C1" t="s">
        <v>27</v>
      </c>
      <c r="D1" t="s">
        <v>13</v>
      </c>
      <c r="E1" t="s">
        <v>81</v>
      </c>
      <c r="F1" t="s">
        <v>84</v>
      </c>
      <c r="G1" t="s">
        <v>82</v>
      </c>
      <c r="H1" t="s">
        <v>83</v>
      </c>
      <c r="I1" t="s">
        <v>86</v>
      </c>
      <c r="J1" t="s">
        <v>85</v>
      </c>
    </row>
    <row r="2" spans="1:10" x14ac:dyDescent="0.25">
      <c r="A2" s="19" t="s">
        <v>63</v>
      </c>
      <c r="B2" t="s">
        <v>64</v>
      </c>
      <c r="C2" s="1">
        <v>0</v>
      </c>
      <c r="D2" s="1">
        <v>2.5</v>
      </c>
      <c r="E2">
        <v>50</v>
      </c>
      <c r="F2">
        <f>SUMIF(tabVendas[Código],tabProdutos[[#This Row],[Código]],tabVendas[Qnt.])</f>
        <v>2</v>
      </c>
      <c r="G2">
        <f>tabProdutos[[#This Row],[Estoque inicial]]-tabProdutos[[#This Row],[Unidades vendidas]]+SUMIF(Tabela7[Cód. Do produto],tabProdutos[[#This Row],[Código]],Tabela7[Qnt.])</f>
        <v>48</v>
      </c>
      <c r="H2">
        <v>15</v>
      </c>
      <c r="I2">
        <v>10</v>
      </c>
      <c r="J2" t="str" cm="1">
        <f t="array" ref="J2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Produto em estoque</v>
      </c>
    </row>
    <row r="3" spans="1:10" x14ac:dyDescent="0.25">
      <c r="A3" s="19" t="s">
        <v>57</v>
      </c>
      <c r="B3" t="s">
        <v>65</v>
      </c>
      <c r="C3" s="1">
        <v>0</v>
      </c>
      <c r="D3" s="1">
        <v>3.5</v>
      </c>
      <c r="E3">
        <v>20</v>
      </c>
      <c r="F3">
        <f>SUMIF(tabVendas[Código],tabProdutos[[#This Row],[Código]],tabVendas[Qnt.])</f>
        <v>3</v>
      </c>
      <c r="G3">
        <f>tabProdutos[[#This Row],[Estoque inicial]]-tabProdutos[[#This Row],[Unidades vendidas]]+SUMIF(Tabela7[Cód. Do produto],tabProdutos[[#This Row],[Código]],Tabela7[Qnt.])</f>
        <v>37</v>
      </c>
      <c r="H3">
        <v>15</v>
      </c>
      <c r="I3">
        <v>10</v>
      </c>
      <c r="J3" t="str" cm="1">
        <f t="array" ref="J3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Produto em estoque</v>
      </c>
    </row>
    <row r="4" spans="1:10" x14ac:dyDescent="0.25">
      <c r="A4" s="19" t="s">
        <v>58</v>
      </c>
      <c r="B4" t="s">
        <v>66</v>
      </c>
      <c r="C4" s="1">
        <v>0</v>
      </c>
      <c r="D4" s="1">
        <v>32</v>
      </c>
      <c r="E4">
        <v>10</v>
      </c>
      <c r="F4">
        <f>SUMIF(tabVendas[Código],tabProdutos[[#This Row],[Código]],tabVendas[Qnt.])</f>
        <v>6</v>
      </c>
      <c r="G4">
        <f>tabProdutos[[#This Row],[Estoque inicial]]-tabProdutos[[#This Row],[Unidades vendidas]]+SUMIF(Tabela7[Cód. Do produto],tabProdutos[[#This Row],[Código]],Tabela7[Qnt.])</f>
        <v>14</v>
      </c>
      <c r="H4">
        <v>15</v>
      </c>
      <c r="I4">
        <v>10</v>
      </c>
      <c r="J4" t="str" cm="1">
        <f t="array" ref="J4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5" spans="1:10" x14ac:dyDescent="0.25">
      <c r="A5" s="19" t="s">
        <v>59</v>
      </c>
      <c r="B5" t="s">
        <v>76</v>
      </c>
      <c r="C5" s="1">
        <v>0</v>
      </c>
      <c r="D5" s="1">
        <v>3.25</v>
      </c>
      <c r="E5">
        <v>10</v>
      </c>
      <c r="F5">
        <f>SUMIF(tabVendas[Código],tabProdutos[[#This Row],[Código]],tabVendas[Qnt.])</f>
        <v>0</v>
      </c>
      <c r="G5">
        <f>tabProdutos[[#This Row],[Estoque inicial]]-tabProdutos[[#This Row],[Unidades vendidas]]+SUMIF(Tabela7[Cód. Do produto],tabProdutos[[#This Row],[Código]],Tabela7[Qnt.])</f>
        <v>10</v>
      </c>
      <c r="H5">
        <v>15</v>
      </c>
      <c r="I5">
        <v>10</v>
      </c>
      <c r="J5" t="str" cm="1">
        <f t="array" ref="J5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6" spans="1:10" x14ac:dyDescent="0.25">
      <c r="A6" s="19" t="s">
        <v>60</v>
      </c>
      <c r="B6" t="s">
        <v>67</v>
      </c>
      <c r="C6" s="1">
        <v>0</v>
      </c>
      <c r="D6" s="1">
        <v>29</v>
      </c>
      <c r="E6">
        <v>10</v>
      </c>
      <c r="F6">
        <f>SUMIF(tabVendas[Código],tabProdutos[[#This Row],[Código]],tabVendas[Qnt.])</f>
        <v>0</v>
      </c>
      <c r="G6">
        <f>tabProdutos[[#This Row],[Estoque inicial]]-tabProdutos[[#This Row],[Unidades vendidas]]+SUMIF(Tabela7[Cód. Do produto],tabProdutos[[#This Row],[Código]],Tabela7[Qnt.])</f>
        <v>10</v>
      </c>
      <c r="H6">
        <v>15</v>
      </c>
      <c r="I6">
        <v>10</v>
      </c>
      <c r="J6" t="str" cm="1">
        <f t="array" ref="J6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7" spans="1:10" x14ac:dyDescent="0.25">
      <c r="A7" s="19" t="s">
        <v>61</v>
      </c>
      <c r="B7" t="s">
        <v>68</v>
      </c>
      <c r="C7" s="1">
        <v>0</v>
      </c>
      <c r="D7" s="1">
        <v>2.75</v>
      </c>
      <c r="E7">
        <v>10</v>
      </c>
      <c r="F7">
        <f>SUMIF(tabVendas[Código],tabProdutos[[#This Row],[Código]],tabVendas[Qnt.])</f>
        <v>20</v>
      </c>
      <c r="G7">
        <f>tabProdutos[[#This Row],[Estoque inicial]]-tabProdutos[[#This Row],[Unidades vendidas]]+SUMIF(Tabela7[Cód. Do produto],tabProdutos[[#This Row],[Código]],Tabela7[Qnt.])</f>
        <v>-10</v>
      </c>
      <c r="H7">
        <v>15</v>
      </c>
      <c r="I7">
        <v>10</v>
      </c>
      <c r="J7" t="str" cm="1">
        <f t="array" ref="J7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8" spans="1:10" x14ac:dyDescent="0.25">
      <c r="A8" s="19" t="s">
        <v>69</v>
      </c>
      <c r="B8" t="s">
        <v>70</v>
      </c>
      <c r="C8" s="1">
        <v>0</v>
      </c>
      <c r="D8" s="1">
        <v>43</v>
      </c>
      <c r="E8">
        <v>10</v>
      </c>
      <c r="F8">
        <f>SUMIF(tabVendas[Código],tabProdutos[[#This Row],[Código]],tabVendas[Qnt.])</f>
        <v>0</v>
      </c>
      <c r="G8">
        <f>tabProdutos[[#This Row],[Estoque inicial]]-tabProdutos[[#This Row],[Unidades vendidas]]+SUMIF(Tabela7[Cód. Do produto],tabProdutos[[#This Row],[Código]],Tabela7[Qnt.])</f>
        <v>10</v>
      </c>
      <c r="H8">
        <v>15</v>
      </c>
      <c r="I8">
        <v>10</v>
      </c>
      <c r="J8" t="str" cm="1">
        <f t="array" ref="J8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9" spans="1:10" x14ac:dyDescent="0.25">
      <c r="A9" s="19" t="s">
        <v>71</v>
      </c>
      <c r="B9" t="s">
        <v>72</v>
      </c>
      <c r="C9" s="1">
        <v>0</v>
      </c>
      <c r="D9" s="1">
        <v>4.5</v>
      </c>
      <c r="E9">
        <v>10</v>
      </c>
      <c r="F9">
        <f>SUMIF(tabVendas[Código],tabProdutos[[#This Row],[Código]],tabVendas[Qnt.])</f>
        <v>0</v>
      </c>
      <c r="G9">
        <f>tabProdutos[[#This Row],[Estoque inicial]]-tabProdutos[[#This Row],[Unidades vendidas]]+SUMIF(Tabela7[Cód. Do produto],tabProdutos[[#This Row],[Código]],Tabela7[Qnt.])</f>
        <v>10</v>
      </c>
      <c r="H9">
        <v>15</v>
      </c>
      <c r="I9">
        <v>10</v>
      </c>
      <c r="J9" t="str" cm="1">
        <f t="array" ref="J9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10" spans="1:10" x14ac:dyDescent="0.25">
      <c r="A10" s="19" t="s">
        <v>73</v>
      </c>
      <c r="B10" t="s">
        <v>74</v>
      </c>
      <c r="C10" s="1">
        <v>0</v>
      </c>
      <c r="D10" s="1">
        <v>33</v>
      </c>
      <c r="E10">
        <v>10</v>
      </c>
      <c r="F10">
        <f>SUMIF(tabVendas[Código],tabProdutos[[#This Row],[Código]],tabVendas[Qnt.])</f>
        <v>0</v>
      </c>
      <c r="G10">
        <f>tabProdutos[[#This Row],[Estoque inicial]]-tabProdutos[[#This Row],[Unidades vendidas]]+SUMIF(Tabela7[Cód. Do produto],tabProdutos[[#This Row],[Código]],Tabela7[Qnt.])</f>
        <v>10</v>
      </c>
      <c r="H10">
        <v>15</v>
      </c>
      <c r="I10">
        <v>10</v>
      </c>
      <c r="J10" t="str" cm="1">
        <f t="array" ref="J10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11" spans="1:10" x14ac:dyDescent="0.25">
      <c r="A11" s="19" t="s">
        <v>73</v>
      </c>
      <c r="B11" t="s">
        <v>75</v>
      </c>
      <c r="C11" s="1">
        <v>0</v>
      </c>
      <c r="D11" s="1">
        <v>3</v>
      </c>
      <c r="E11">
        <v>10</v>
      </c>
      <c r="F11">
        <f>SUMIF(tabVendas[Código],tabProdutos[[#This Row],[Código]],tabVendas[Qnt.])</f>
        <v>0</v>
      </c>
      <c r="G11">
        <f>tabProdutos[[#This Row],[Estoque inicial]]-tabProdutos[[#This Row],[Unidades vendidas]]+SUMIF(Tabela7[Cód. Do produto],tabProdutos[[#This Row],[Código]],Tabela7[Qnt.])</f>
        <v>10</v>
      </c>
      <c r="H11">
        <v>15</v>
      </c>
      <c r="I11">
        <v>10</v>
      </c>
      <c r="J11" t="str" cm="1">
        <f t="array" ref="J11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12" spans="1:10" x14ac:dyDescent="0.25">
      <c r="A12" s="19" t="s">
        <v>77</v>
      </c>
      <c r="B12" t="s">
        <v>78</v>
      </c>
      <c r="C12" s="1">
        <v>0</v>
      </c>
      <c r="D12" s="1">
        <v>28</v>
      </c>
      <c r="E12">
        <v>10</v>
      </c>
      <c r="F12">
        <f>SUMIF(tabVendas[Código],tabProdutos[[#This Row],[Código]],tabVendas[Qnt.])</f>
        <v>0</v>
      </c>
      <c r="G12">
        <f>tabProdutos[[#This Row],[Estoque inicial]]-tabProdutos[[#This Row],[Unidades vendidas]]+SUMIF(Tabela7[Cód. Do produto],tabProdutos[[#This Row],[Código]],Tabela7[Qnt.])</f>
        <v>10</v>
      </c>
      <c r="H12">
        <v>15</v>
      </c>
      <c r="I12">
        <v>10</v>
      </c>
      <c r="J12" t="str" cm="1">
        <f t="array" ref="J12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13" spans="1:10" x14ac:dyDescent="0.25">
      <c r="A13" s="19" t="s">
        <v>79</v>
      </c>
      <c r="B13" t="s">
        <v>80</v>
      </c>
      <c r="C13" s="1">
        <v>0</v>
      </c>
      <c r="D13" s="1">
        <v>4</v>
      </c>
      <c r="E13">
        <v>10</v>
      </c>
      <c r="F13">
        <f>SUMIF(tabVendas[Código],tabProdutos[[#This Row],[Código]],tabVendas[Qnt.])</f>
        <v>5</v>
      </c>
      <c r="G13">
        <f>tabProdutos[[#This Row],[Estoque inicial]]-tabProdutos[[#This Row],[Unidades vendidas]]+SUMIF(Tabela7[Cód. Do produto],tabProdutos[[#This Row],[Código]],Tabela7[Qnt.])</f>
        <v>5</v>
      </c>
      <c r="H13">
        <v>15</v>
      </c>
      <c r="I13">
        <v>10</v>
      </c>
      <c r="J13" t="str" cm="1">
        <f t="array" ref="J13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  <row r="14" spans="1:10" x14ac:dyDescent="0.25">
      <c r="A14" s="31" t="s">
        <v>92</v>
      </c>
      <c r="B14" t="s">
        <v>93</v>
      </c>
      <c r="C14" s="1">
        <v>5.99</v>
      </c>
      <c r="D14" s="1">
        <v>10</v>
      </c>
      <c r="F14" s="32">
        <f>SUMIF(tabVendas[Código],tabProdutos[[#This Row],[Código]],tabVendas[Qnt.])</f>
        <v>1</v>
      </c>
      <c r="G14" s="32">
        <f>tabProdutos[[#This Row],[Estoque inicial]]-tabProdutos[[#This Row],[Unidades vendidas]]+SUMIF(Tabela7[Cód. Do produto],tabProdutos[[#This Row],[Código]],Tabela7[Qnt.])</f>
        <v>-1</v>
      </c>
      <c r="J14" s="32" t="str" cm="1">
        <f t="array" ref="J14">_xlfn.IFS(tabProdutos[[#This Row],[Estoque atual]]=0,"Produto esgotado",tabProdutos[[#This Row],[Estoque atual]]&lt;=tabProdutos[[#This Row],[Estoque mínimo]],"Necessita de compra urgente!",tabProdutos[[#This Row],[Estoque atual]]&lt;=tabProdutos[[#This Row],[Estoque mínimo]]+tabProdutos[[#This Row],[Margem de segurança]],"Estoque baixo",tabProdutos[[#This Row],[Estoque atual]]&gt;tabProdutos[[#This Row],[Estoque mínimo]]+tabProdutos[[#This Row],[Margem de segurança]],"Produto em estoque")</f>
        <v>Necessita de compra urgente!</v>
      </c>
    </row>
  </sheetData>
  <conditionalFormatting sqref="J2:J14">
    <cfRule type="containsText" dxfId="9" priority="4" operator="containsText" text="Produto esgotado">
      <formula>NOT(ISERROR(SEARCH("Produto esgotado",J2)))</formula>
    </cfRule>
    <cfRule type="containsText" dxfId="8" priority="3" operator="containsText" text="Necessita de compra urgente!">
      <formula>NOT(ISERROR(SEARCH("Necessita de compra urgente!",J2)))</formula>
    </cfRule>
    <cfRule type="containsText" dxfId="7" priority="2" operator="containsText" text="Estoque baixo">
      <formula>NOT(ISERROR(SEARCH("Estoque baixo",J2)))</formula>
    </cfRule>
    <cfRule type="containsText" dxfId="6" priority="1" operator="containsText" text="Produto em estoque">
      <formula>NOT(ISERROR(SEARCH("Produto em estoque",J2)))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9170-3A56-446D-9655-DADB3F9A7A58}">
  <sheetPr codeName="Planilha9"/>
  <dimension ref="A1:F4"/>
  <sheetViews>
    <sheetView workbookViewId="0">
      <selection activeCell="A2" sqref="A2"/>
    </sheetView>
  </sheetViews>
  <sheetFormatPr defaultRowHeight="15" x14ac:dyDescent="0.25"/>
  <cols>
    <col min="1" max="1" width="13.42578125" bestFit="1" customWidth="1"/>
    <col min="2" max="2" width="17" bestFit="1" customWidth="1"/>
    <col min="3" max="3" width="17.85546875" bestFit="1" customWidth="1"/>
    <col min="4" max="4" width="18.5703125" bestFit="1" customWidth="1"/>
    <col min="6" max="6" width="13.7109375" bestFit="1" customWidth="1"/>
  </cols>
  <sheetData>
    <row r="1" spans="1:6" x14ac:dyDescent="0.25">
      <c r="A1" t="s">
        <v>87</v>
      </c>
      <c r="B1" t="s">
        <v>88</v>
      </c>
      <c r="C1" t="s">
        <v>89</v>
      </c>
      <c r="D1" t="s">
        <v>90</v>
      </c>
      <c r="E1" t="s">
        <v>3</v>
      </c>
      <c r="F1" t="s">
        <v>91</v>
      </c>
    </row>
    <row r="2" spans="1:6" x14ac:dyDescent="0.25">
      <c r="C2">
        <v>2</v>
      </c>
      <c r="E2">
        <v>10</v>
      </c>
    </row>
    <row r="3" spans="1:6" x14ac:dyDescent="0.25">
      <c r="C3">
        <v>1</v>
      </c>
      <c r="E3">
        <v>10</v>
      </c>
    </row>
    <row r="4" spans="1:6" x14ac:dyDescent="0.25">
      <c r="C4">
        <v>1</v>
      </c>
      <c r="E4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Info. do caixa atual</vt:lpstr>
      <vt:lpstr>PDV</vt:lpstr>
      <vt:lpstr>Resumo de vendas</vt:lpstr>
      <vt:lpstr>Vendas (Resumo)</vt:lpstr>
      <vt:lpstr>Vendas por produto</vt:lpstr>
      <vt:lpstr>Registro de PDV</vt:lpstr>
      <vt:lpstr>Entradas e Saídas</vt:lpstr>
      <vt:lpstr>Base_Produtos</vt:lpstr>
      <vt:lpstr>Compras_Mercadoria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oliveira luna</dc:creator>
  <cp:lastModifiedBy>Rafael Luna | EAÍ?! Content Experience</cp:lastModifiedBy>
  <dcterms:created xsi:type="dcterms:W3CDTF">2023-05-28T04:46:35Z</dcterms:created>
  <dcterms:modified xsi:type="dcterms:W3CDTF">2023-10-03T21:31:47Z</dcterms:modified>
</cp:coreProperties>
</file>